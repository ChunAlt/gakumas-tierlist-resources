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un\gakumas-tierlist\GakuConverter\"/>
    </mc:Choice>
  </mc:AlternateContent>
  <xr:revisionPtr revIDLastSave="0" documentId="13_ncr:1_{5685CDEC-8A9F-417C-9D0D-AF2EDE3FB4DE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R" sheetId="1" r:id="rId1"/>
    <sheet name="SR" sheetId="2" r:id="rId2"/>
    <sheet name="SSR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uZECVshulxDFbTshi1N0mHRgKV3gAwlbXuipSTnUcQ="/>
    </ext>
  </extLst>
</workbook>
</file>

<file path=xl/calcChain.xml><?xml version="1.0" encoding="utf-8"?>
<calcChain xmlns="http://schemas.openxmlformats.org/spreadsheetml/2006/main">
  <c r="E11" i="3" l="1"/>
  <c r="E16" i="3" s="1"/>
  <c r="E21" i="3" s="1"/>
  <c r="E26" i="3" s="1"/>
  <c r="E31" i="3" s="1"/>
  <c r="E36" i="3" s="1"/>
  <c r="E41" i="3" s="1"/>
  <c r="E46" i="3" s="1"/>
  <c r="E51" i="3" s="1"/>
  <c r="E56" i="3" s="1"/>
  <c r="E61" i="3" s="1"/>
  <c r="E66" i="3" s="1"/>
  <c r="E71" i="3" s="1"/>
  <c r="E76" i="3" s="1"/>
  <c r="E81" i="3" s="1"/>
  <c r="E86" i="3" s="1"/>
  <c r="E91" i="3" s="1"/>
  <c r="E96" i="3" s="1"/>
  <c r="E101" i="3" s="1"/>
  <c r="E106" i="3" s="1"/>
  <c r="E111" i="3" s="1"/>
  <c r="E116" i="3" s="1"/>
  <c r="E121" i="3" s="1"/>
  <c r="E126" i="3" s="1"/>
  <c r="E131" i="3" s="1"/>
  <c r="E136" i="3" s="1"/>
  <c r="E141" i="3" s="1"/>
  <c r="E146" i="3" s="1"/>
  <c r="E151" i="3" s="1"/>
  <c r="E156" i="3" s="1"/>
  <c r="E161" i="3" s="1"/>
  <c r="E166" i="3" s="1"/>
  <c r="E171" i="3" s="1"/>
  <c r="E176" i="3" s="1"/>
  <c r="E181" i="3" s="1"/>
  <c r="E186" i="3" s="1"/>
  <c r="E191" i="3" s="1"/>
  <c r="E196" i="3" s="1"/>
  <c r="E201" i="3" s="1"/>
  <c r="E206" i="3" s="1"/>
  <c r="E211" i="3" s="1"/>
  <c r="E216" i="3" s="1"/>
  <c r="E221" i="3" s="1"/>
  <c r="E226" i="3" s="1"/>
  <c r="E231" i="3" s="1"/>
  <c r="E236" i="3" s="1"/>
  <c r="E241" i="3" s="1"/>
  <c r="E246" i="3" s="1"/>
  <c r="E251" i="3" s="1"/>
  <c r="E256" i="3" s="1"/>
  <c r="E261" i="3" s="1"/>
  <c r="E266" i="3" s="1"/>
  <c r="E271" i="3" s="1"/>
  <c r="E276" i="3" s="1"/>
  <c r="E281" i="3" s="1"/>
  <c r="E286" i="3" s="1"/>
  <c r="E291" i="3" s="1"/>
  <c r="A11" i="3"/>
  <c r="A16" i="3" s="1"/>
  <c r="A21" i="3" s="1"/>
  <c r="A26" i="3" s="1"/>
  <c r="A31" i="3" s="1"/>
  <c r="A36" i="3" s="1"/>
  <c r="A41" i="3" s="1"/>
  <c r="A46" i="3" s="1"/>
  <c r="A51" i="3" s="1"/>
  <c r="A56" i="3" s="1"/>
  <c r="A61" i="3" s="1"/>
  <c r="A66" i="3" s="1"/>
  <c r="A71" i="3" s="1"/>
  <c r="A76" i="3" s="1"/>
  <c r="A81" i="3" s="1"/>
  <c r="A86" i="3" s="1"/>
  <c r="A91" i="3" s="1"/>
  <c r="A96" i="3" s="1"/>
  <c r="A101" i="3" s="1"/>
  <c r="A106" i="3" s="1"/>
  <c r="A111" i="3" s="1"/>
  <c r="A116" i="3" s="1"/>
  <c r="A121" i="3" s="1"/>
  <c r="A126" i="3" s="1"/>
  <c r="A131" i="3" s="1"/>
  <c r="A136" i="3" s="1"/>
  <c r="A141" i="3" s="1"/>
  <c r="A146" i="3" s="1"/>
  <c r="A151" i="3" s="1"/>
  <c r="A156" i="3" s="1"/>
  <c r="A161" i="3" s="1"/>
  <c r="A166" i="3" s="1"/>
  <c r="A171" i="3" s="1"/>
  <c r="A176" i="3" s="1"/>
  <c r="A181" i="3" s="1"/>
  <c r="A186" i="3" s="1"/>
  <c r="A191" i="3" s="1"/>
  <c r="A196" i="3" s="1"/>
  <c r="A201" i="3" s="1"/>
  <c r="A206" i="3" s="1"/>
  <c r="A211" i="3" s="1"/>
  <c r="A216" i="3" s="1"/>
  <c r="A221" i="3" s="1"/>
  <c r="A226" i="3" s="1"/>
  <c r="A231" i="3" s="1"/>
  <c r="A236" i="3" s="1"/>
  <c r="A241" i="3" s="1"/>
  <c r="A246" i="3" s="1"/>
  <c r="A251" i="3" s="1"/>
  <c r="A256" i="3" s="1"/>
  <c r="A261" i="3" s="1"/>
  <c r="A266" i="3" s="1"/>
  <c r="A271" i="3" s="1"/>
  <c r="A276" i="3" s="1"/>
  <c r="A281" i="3" s="1"/>
  <c r="A286" i="3" s="1"/>
  <c r="A291" i="3" s="1"/>
  <c r="A296" i="3" s="1"/>
  <c r="A301" i="3" s="1"/>
  <c r="A306" i="3" s="1"/>
  <c r="A311" i="3" s="1"/>
  <c r="A316" i="3" s="1"/>
  <c r="E10" i="3"/>
  <c r="E15" i="3" s="1"/>
  <c r="E20" i="3" s="1"/>
  <c r="E25" i="3" s="1"/>
  <c r="E30" i="3" s="1"/>
  <c r="E35" i="3" s="1"/>
  <c r="E40" i="3" s="1"/>
  <c r="E45" i="3" s="1"/>
  <c r="E50" i="3" s="1"/>
  <c r="E55" i="3" s="1"/>
  <c r="E60" i="3" s="1"/>
  <c r="E65" i="3" s="1"/>
  <c r="E70" i="3" s="1"/>
  <c r="E75" i="3" s="1"/>
  <c r="E80" i="3" s="1"/>
  <c r="E85" i="3" s="1"/>
  <c r="E90" i="3" s="1"/>
  <c r="E95" i="3" s="1"/>
  <c r="E100" i="3" s="1"/>
  <c r="E105" i="3" s="1"/>
  <c r="E110" i="3" s="1"/>
  <c r="E115" i="3" s="1"/>
  <c r="E120" i="3" s="1"/>
  <c r="E125" i="3" s="1"/>
  <c r="E130" i="3" s="1"/>
  <c r="E135" i="3" s="1"/>
  <c r="E140" i="3" s="1"/>
  <c r="E145" i="3" s="1"/>
  <c r="E150" i="3" s="1"/>
  <c r="E155" i="3" s="1"/>
  <c r="E160" i="3" s="1"/>
  <c r="E165" i="3" s="1"/>
  <c r="E170" i="3" s="1"/>
  <c r="E175" i="3" s="1"/>
  <c r="E180" i="3" s="1"/>
  <c r="E185" i="3" s="1"/>
  <c r="E190" i="3" s="1"/>
  <c r="E195" i="3" s="1"/>
  <c r="E200" i="3" s="1"/>
  <c r="E205" i="3" s="1"/>
  <c r="E210" i="3" s="1"/>
  <c r="E215" i="3" s="1"/>
  <c r="E220" i="3" s="1"/>
  <c r="E225" i="3" s="1"/>
  <c r="E230" i="3" s="1"/>
  <c r="E235" i="3" s="1"/>
  <c r="E240" i="3" s="1"/>
  <c r="E245" i="3" s="1"/>
  <c r="E250" i="3" s="1"/>
  <c r="E255" i="3" s="1"/>
  <c r="E260" i="3" s="1"/>
  <c r="E265" i="3" s="1"/>
  <c r="E270" i="3" s="1"/>
  <c r="E275" i="3" s="1"/>
  <c r="E280" i="3" s="1"/>
  <c r="E285" i="3" s="1"/>
  <c r="E290" i="3" s="1"/>
  <c r="A10" i="3"/>
  <c r="A15" i="3" s="1"/>
  <c r="A20" i="3" s="1"/>
  <c r="A25" i="3" s="1"/>
  <c r="A30" i="3" s="1"/>
  <c r="A35" i="3" s="1"/>
  <c r="A40" i="3" s="1"/>
  <c r="A45" i="3" s="1"/>
  <c r="A50" i="3" s="1"/>
  <c r="A55" i="3" s="1"/>
  <c r="A60" i="3" s="1"/>
  <c r="A65" i="3" s="1"/>
  <c r="A70" i="3" s="1"/>
  <c r="A75" i="3" s="1"/>
  <c r="A80" i="3" s="1"/>
  <c r="A85" i="3" s="1"/>
  <c r="A90" i="3" s="1"/>
  <c r="A95" i="3" s="1"/>
  <c r="A100" i="3" s="1"/>
  <c r="A105" i="3" s="1"/>
  <c r="A110" i="3" s="1"/>
  <c r="A115" i="3" s="1"/>
  <c r="A120" i="3" s="1"/>
  <c r="A125" i="3" s="1"/>
  <c r="A130" i="3" s="1"/>
  <c r="A135" i="3" s="1"/>
  <c r="A140" i="3" s="1"/>
  <c r="A145" i="3" s="1"/>
  <c r="A150" i="3" s="1"/>
  <c r="A155" i="3" s="1"/>
  <c r="A160" i="3" s="1"/>
  <c r="A165" i="3" s="1"/>
  <c r="A170" i="3" s="1"/>
  <c r="A175" i="3" s="1"/>
  <c r="A180" i="3" s="1"/>
  <c r="A185" i="3" s="1"/>
  <c r="A190" i="3" s="1"/>
  <c r="A195" i="3" s="1"/>
  <c r="A200" i="3" s="1"/>
  <c r="A205" i="3" s="1"/>
  <c r="A210" i="3" s="1"/>
  <c r="A215" i="3" s="1"/>
  <c r="A220" i="3" s="1"/>
  <c r="A225" i="3" s="1"/>
  <c r="A230" i="3" s="1"/>
  <c r="A235" i="3" s="1"/>
  <c r="A240" i="3" s="1"/>
  <c r="A245" i="3" s="1"/>
  <c r="A250" i="3" s="1"/>
  <c r="A255" i="3" s="1"/>
  <c r="A260" i="3" s="1"/>
  <c r="A265" i="3" s="1"/>
  <c r="A270" i="3" s="1"/>
  <c r="A275" i="3" s="1"/>
  <c r="A280" i="3" s="1"/>
  <c r="A285" i="3" s="1"/>
  <c r="A290" i="3" s="1"/>
  <c r="A295" i="3" s="1"/>
  <c r="A300" i="3" s="1"/>
  <c r="A305" i="3" s="1"/>
  <c r="A310" i="3" s="1"/>
  <c r="A315" i="3" s="1"/>
  <c r="E9" i="3"/>
  <c r="E14" i="3" s="1"/>
  <c r="E19" i="3" s="1"/>
  <c r="E24" i="3" s="1"/>
  <c r="E29" i="3" s="1"/>
  <c r="E34" i="3" s="1"/>
  <c r="E39" i="3" s="1"/>
  <c r="E44" i="3" s="1"/>
  <c r="E49" i="3" s="1"/>
  <c r="E54" i="3" s="1"/>
  <c r="E59" i="3" s="1"/>
  <c r="E64" i="3" s="1"/>
  <c r="E69" i="3" s="1"/>
  <c r="E74" i="3" s="1"/>
  <c r="E79" i="3" s="1"/>
  <c r="E84" i="3" s="1"/>
  <c r="E89" i="3" s="1"/>
  <c r="E94" i="3" s="1"/>
  <c r="E99" i="3" s="1"/>
  <c r="E104" i="3" s="1"/>
  <c r="E109" i="3" s="1"/>
  <c r="E114" i="3" s="1"/>
  <c r="E119" i="3" s="1"/>
  <c r="E124" i="3" s="1"/>
  <c r="E129" i="3" s="1"/>
  <c r="E134" i="3" s="1"/>
  <c r="E139" i="3" s="1"/>
  <c r="E144" i="3" s="1"/>
  <c r="E149" i="3" s="1"/>
  <c r="E154" i="3" s="1"/>
  <c r="E159" i="3" s="1"/>
  <c r="E164" i="3" s="1"/>
  <c r="E169" i="3" s="1"/>
  <c r="E174" i="3" s="1"/>
  <c r="E179" i="3" s="1"/>
  <c r="E184" i="3" s="1"/>
  <c r="E189" i="3" s="1"/>
  <c r="E194" i="3" s="1"/>
  <c r="E199" i="3" s="1"/>
  <c r="E204" i="3" s="1"/>
  <c r="E209" i="3" s="1"/>
  <c r="E214" i="3" s="1"/>
  <c r="E219" i="3" s="1"/>
  <c r="E224" i="3" s="1"/>
  <c r="E229" i="3" s="1"/>
  <c r="E234" i="3" s="1"/>
  <c r="E239" i="3" s="1"/>
  <c r="E244" i="3" s="1"/>
  <c r="E249" i="3" s="1"/>
  <c r="E254" i="3" s="1"/>
  <c r="E259" i="3" s="1"/>
  <c r="E264" i="3" s="1"/>
  <c r="E269" i="3" s="1"/>
  <c r="E274" i="3" s="1"/>
  <c r="E279" i="3" s="1"/>
  <c r="E284" i="3" s="1"/>
  <c r="E289" i="3" s="1"/>
  <c r="A9" i="3"/>
  <c r="A14" i="3" s="1"/>
  <c r="A19" i="3" s="1"/>
  <c r="A24" i="3" s="1"/>
  <c r="A29" i="3" s="1"/>
  <c r="A34" i="3" s="1"/>
  <c r="A39" i="3" s="1"/>
  <c r="A44" i="3" s="1"/>
  <c r="A49" i="3" s="1"/>
  <c r="A54" i="3" s="1"/>
  <c r="A59" i="3" s="1"/>
  <c r="A64" i="3" s="1"/>
  <c r="A69" i="3" s="1"/>
  <c r="A74" i="3" s="1"/>
  <c r="A79" i="3" s="1"/>
  <c r="A84" i="3" s="1"/>
  <c r="A89" i="3" s="1"/>
  <c r="A94" i="3" s="1"/>
  <c r="A99" i="3" s="1"/>
  <c r="A104" i="3" s="1"/>
  <c r="A109" i="3" s="1"/>
  <c r="A114" i="3" s="1"/>
  <c r="A119" i="3" s="1"/>
  <c r="A124" i="3" s="1"/>
  <c r="A129" i="3" s="1"/>
  <c r="A134" i="3" s="1"/>
  <c r="A139" i="3" s="1"/>
  <c r="A144" i="3" s="1"/>
  <c r="A149" i="3" s="1"/>
  <c r="A154" i="3" s="1"/>
  <c r="A159" i="3" s="1"/>
  <c r="A164" i="3" s="1"/>
  <c r="A169" i="3" s="1"/>
  <c r="A174" i="3" s="1"/>
  <c r="A179" i="3" s="1"/>
  <c r="A184" i="3" s="1"/>
  <c r="A189" i="3" s="1"/>
  <c r="A194" i="3" s="1"/>
  <c r="A199" i="3" s="1"/>
  <c r="A204" i="3" s="1"/>
  <c r="A209" i="3" s="1"/>
  <c r="A214" i="3" s="1"/>
  <c r="A219" i="3" s="1"/>
  <c r="A224" i="3" s="1"/>
  <c r="A229" i="3" s="1"/>
  <c r="A234" i="3" s="1"/>
  <c r="A239" i="3" s="1"/>
  <c r="A244" i="3" s="1"/>
  <c r="A249" i="3" s="1"/>
  <c r="A254" i="3" s="1"/>
  <c r="A259" i="3" s="1"/>
  <c r="A264" i="3" s="1"/>
  <c r="A269" i="3" s="1"/>
  <c r="A274" i="3" s="1"/>
  <c r="A279" i="3" s="1"/>
  <c r="A284" i="3" s="1"/>
  <c r="A289" i="3" s="1"/>
  <c r="A294" i="3" s="1"/>
  <c r="A299" i="3" s="1"/>
  <c r="A304" i="3" s="1"/>
  <c r="A309" i="3" s="1"/>
  <c r="A314" i="3" s="1"/>
  <c r="E8" i="3"/>
  <c r="E13" i="3" s="1"/>
  <c r="E18" i="3" s="1"/>
  <c r="E23" i="3" s="1"/>
  <c r="E28" i="3" s="1"/>
  <c r="E33" i="3" s="1"/>
  <c r="E38" i="3" s="1"/>
  <c r="E43" i="3" s="1"/>
  <c r="E48" i="3" s="1"/>
  <c r="E53" i="3" s="1"/>
  <c r="E58" i="3" s="1"/>
  <c r="E63" i="3" s="1"/>
  <c r="E68" i="3" s="1"/>
  <c r="E73" i="3" s="1"/>
  <c r="E78" i="3" s="1"/>
  <c r="E83" i="3" s="1"/>
  <c r="E88" i="3" s="1"/>
  <c r="E93" i="3" s="1"/>
  <c r="E98" i="3" s="1"/>
  <c r="E103" i="3" s="1"/>
  <c r="E108" i="3" s="1"/>
  <c r="E113" i="3" s="1"/>
  <c r="E118" i="3" s="1"/>
  <c r="E123" i="3" s="1"/>
  <c r="E128" i="3" s="1"/>
  <c r="E133" i="3" s="1"/>
  <c r="E138" i="3" s="1"/>
  <c r="E143" i="3" s="1"/>
  <c r="E148" i="3" s="1"/>
  <c r="E153" i="3" s="1"/>
  <c r="E158" i="3" s="1"/>
  <c r="E163" i="3" s="1"/>
  <c r="E168" i="3" s="1"/>
  <c r="E173" i="3" s="1"/>
  <c r="E178" i="3" s="1"/>
  <c r="E183" i="3" s="1"/>
  <c r="E188" i="3" s="1"/>
  <c r="E193" i="3" s="1"/>
  <c r="E198" i="3" s="1"/>
  <c r="E203" i="3" s="1"/>
  <c r="E208" i="3" s="1"/>
  <c r="E213" i="3" s="1"/>
  <c r="E218" i="3" s="1"/>
  <c r="E223" i="3" s="1"/>
  <c r="E228" i="3" s="1"/>
  <c r="E233" i="3" s="1"/>
  <c r="E238" i="3" s="1"/>
  <c r="E243" i="3" s="1"/>
  <c r="E248" i="3" s="1"/>
  <c r="E253" i="3" s="1"/>
  <c r="E258" i="3" s="1"/>
  <c r="E263" i="3" s="1"/>
  <c r="E268" i="3" s="1"/>
  <c r="E273" i="3" s="1"/>
  <c r="E278" i="3" s="1"/>
  <c r="E283" i="3" s="1"/>
  <c r="E288" i="3" s="1"/>
  <c r="A8" i="3"/>
  <c r="A13" i="3" s="1"/>
  <c r="A18" i="3" s="1"/>
  <c r="A23" i="3" s="1"/>
  <c r="A28" i="3" s="1"/>
  <c r="A33" i="3" s="1"/>
  <c r="A38" i="3" s="1"/>
  <c r="A43" i="3" s="1"/>
  <c r="A48" i="3" s="1"/>
  <c r="A53" i="3" s="1"/>
  <c r="A58" i="3" s="1"/>
  <c r="A63" i="3" s="1"/>
  <c r="A68" i="3" s="1"/>
  <c r="A73" i="3" s="1"/>
  <c r="A78" i="3" s="1"/>
  <c r="A83" i="3" s="1"/>
  <c r="A88" i="3" s="1"/>
  <c r="A93" i="3" s="1"/>
  <c r="A98" i="3" s="1"/>
  <c r="A103" i="3" s="1"/>
  <c r="A108" i="3" s="1"/>
  <c r="A113" i="3" s="1"/>
  <c r="A118" i="3" s="1"/>
  <c r="A123" i="3" s="1"/>
  <c r="A128" i="3" s="1"/>
  <c r="A133" i="3" s="1"/>
  <c r="A138" i="3" s="1"/>
  <c r="A143" i="3" s="1"/>
  <c r="A148" i="3" s="1"/>
  <c r="A153" i="3" s="1"/>
  <c r="A158" i="3" s="1"/>
  <c r="A163" i="3" s="1"/>
  <c r="A168" i="3" s="1"/>
  <c r="A173" i="3" s="1"/>
  <c r="A178" i="3" s="1"/>
  <c r="A183" i="3" s="1"/>
  <c r="A188" i="3" s="1"/>
  <c r="A193" i="3" s="1"/>
  <c r="A198" i="3" s="1"/>
  <c r="A203" i="3" s="1"/>
  <c r="A208" i="3" s="1"/>
  <c r="A213" i="3" s="1"/>
  <c r="A218" i="3" s="1"/>
  <c r="A223" i="3" s="1"/>
  <c r="A228" i="3" s="1"/>
  <c r="A233" i="3" s="1"/>
  <c r="A238" i="3" s="1"/>
  <c r="A243" i="3" s="1"/>
  <c r="A248" i="3" s="1"/>
  <c r="A253" i="3" s="1"/>
  <c r="A258" i="3" s="1"/>
  <c r="A263" i="3" s="1"/>
  <c r="A268" i="3" s="1"/>
  <c r="A273" i="3" s="1"/>
  <c r="A278" i="3" s="1"/>
  <c r="A283" i="3" s="1"/>
  <c r="A288" i="3" s="1"/>
  <c r="A293" i="3" s="1"/>
  <c r="A298" i="3" s="1"/>
  <c r="A303" i="3" s="1"/>
  <c r="A308" i="3" s="1"/>
  <c r="A313" i="3" s="1"/>
  <c r="E7" i="3"/>
  <c r="E12" i="3" s="1"/>
  <c r="E17" i="3" s="1"/>
  <c r="E22" i="3" s="1"/>
  <c r="E27" i="3" s="1"/>
  <c r="E32" i="3" s="1"/>
  <c r="E37" i="3" s="1"/>
  <c r="E42" i="3" s="1"/>
  <c r="E47" i="3" s="1"/>
  <c r="E52" i="3" s="1"/>
  <c r="E57" i="3" s="1"/>
  <c r="E62" i="3" s="1"/>
  <c r="E67" i="3" s="1"/>
  <c r="E72" i="3" s="1"/>
  <c r="E77" i="3" s="1"/>
  <c r="E82" i="3" s="1"/>
  <c r="E87" i="3" s="1"/>
  <c r="E92" i="3" s="1"/>
  <c r="E97" i="3" s="1"/>
  <c r="E102" i="3" s="1"/>
  <c r="E107" i="3" s="1"/>
  <c r="E112" i="3" s="1"/>
  <c r="E117" i="3" s="1"/>
  <c r="E122" i="3" s="1"/>
  <c r="E127" i="3" s="1"/>
  <c r="E132" i="3" s="1"/>
  <c r="E137" i="3" s="1"/>
  <c r="E142" i="3" s="1"/>
  <c r="E147" i="3" s="1"/>
  <c r="E152" i="3" s="1"/>
  <c r="E157" i="3" s="1"/>
  <c r="E162" i="3" s="1"/>
  <c r="E167" i="3" s="1"/>
  <c r="E172" i="3" s="1"/>
  <c r="E177" i="3" s="1"/>
  <c r="E182" i="3" s="1"/>
  <c r="E187" i="3" s="1"/>
  <c r="E192" i="3" s="1"/>
  <c r="E197" i="3" s="1"/>
  <c r="E202" i="3" s="1"/>
  <c r="E207" i="3" s="1"/>
  <c r="E212" i="3" s="1"/>
  <c r="E217" i="3" s="1"/>
  <c r="E222" i="3" s="1"/>
  <c r="E227" i="3" s="1"/>
  <c r="E232" i="3" s="1"/>
  <c r="E237" i="3" s="1"/>
  <c r="E242" i="3" s="1"/>
  <c r="E247" i="3" s="1"/>
  <c r="E252" i="3" s="1"/>
  <c r="E257" i="3" s="1"/>
  <c r="E262" i="3" s="1"/>
  <c r="E267" i="3" s="1"/>
  <c r="E272" i="3" s="1"/>
  <c r="E277" i="3" s="1"/>
  <c r="E282" i="3" s="1"/>
  <c r="E287" i="3" s="1"/>
  <c r="A7" i="3"/>
  <c r="A12" i="3" s="1"/>
  <c r="A17" i="3" s="1"/>
  <c r="A22" i="3" s="1"/>
  <c r="A27" i="3" s="1"/>
  <c r="A32" i="3" s="1"/>
  <c r="A37" i="3" s="1"/>
  <c r="A42" i="3" s="1"/>
  <c r="A47" i="3" s="1"/>
  <c r="A52" i="3" s="1"/>
  <c r="A57" i="3" s="1"/>
  <c r="A62" i="3" s="1"/>
  <c r="A67" i="3" s="1"/>
  <c r="A72" i="3" s="1"/>
  <c r="A77" i="3" s="1"/>
  <c r="A82" i="3" s="1"/>
  <c r="A87" i="3" s="1"/>
  <c r="A92" i="3" s="1"/>
  <c r="A97" i="3" s="1"/>
  <c r="A102" i="3" s="1"/>
  <c r="A107" i="3" s="1"/>
  <c r="A112" i="3" s="1"/>
  <c r="A117" i="3" s="1"/>
  <c r="A122" i="3" s="1"/>
  <c r="A127" i="3" s="1"/>
  <c r="A132" i="3" s="1"/>
  <c r="A137" i="3" s="1"/>
  <c r="A142" i="3" s="1"/>
  <c r="A147" i="3" s="1"/>
  <c r="A152" i="3" s="1"/>
  <c r="A157" i="3" s="1"/>
  <c r="A162" i="3" s="1"/>
  <c r="A167" i="3" s="1"/>
  <c r="A172" i="3" s="1"/>
  <c r="A177" i="3" s="1"/>
  <c r="A182" i="3" s="1"/>
  <c r="A187" i="3" s="1"/>
  <c r="A192" i="3" s="1"/>
  <c r="A197" i="3" s="1"/>
  <c r="A202" i="3" s="1"/>
  <c r="A207" i="3" s="1"/>
  <c r="A212" i="3" s="1"/>
  <c r="A217" i="3" s="1"/>
  <c r="A222" i="3" s="1"/>
  <c r="A227" i="3" s="1"/>
  <c r="A232" i="3" s="1"/>
  <c r="A237" i="3" s="1"/>
  <c r="A242" i="3" s="1"/>
  <c r="A247" i="3" s="1"/>
  <c r="A252" i="3" s="1"/>
  <c r="A257" i="3" s="1"/>
  <c r="A262" i="3" s="1"/>
  <c r="A267" i="3" s="1"/>
  <c r="A272" i="3" s="1"/>
  <c r="A277" i="3" s="1"/>
  <c r="A282" i="3" s="1"/>
  <c r="A287" i="3" s="1"/>
  <c r="A292" i="3" s="1"/>
  <c r="A297" i="3" s="1"/>
  <c r="A302" i="3" s="1"/>
  <c r="A307" i="3" s="1"/>
  <c r="A312" i="3" s="1"/>
  <c r="A181" i="2"/>
  <c r="A186" i="2" s="1"/>
  <c r="A191" i="2" s="1"/>
  <c r="A196" i="2" s="1"/>
  <c r="A201" i="2" s="1"/>
  <c r="A206" i="2" s="1"/>
  <c r="A211" i="2" s="1"/>
  <c r="A216" i="2" s="1"/>
  <c r="A221" i="2" s="1"/>
  <c r="A226" i="2" s="1"/>
  <c r="A231" i="2" s="1"/>
  <c r="A236" i="2" s="1"/>
  <c r="A241" i="2" s="1"/>
  <c r="A246" i="2" s="1"/>
  <c r="A180" i="2"/>
  <c r="A185" i="2" s="1"/>
  <c r="A190" i="2" s="1"/>
  <c r="A195" i="2" s="1"/>
  <c r="A200" i="2" s="1"/>
  <c r="A205" i="2" s="1"/>
  <c r="A210" i="2" s="1"/>
  <c r="A215" i="2" s="1"/>
  <c r="A220" i="2" s="1"/>
  <c r="A225" i="2" s="1"/>
  <c r="A230" i="2" s="1"/>
  <c r="A235" i="2" s="1"/>
  <c r="A240" i="2" s="1"/>
  <c r="A245" i="2" s="1"/>
  <c r="A179" i="2"/>
  <c r="A184" i="2" s="1"/>
  <c r="A189" i="2" s="1"/>
  <c r="A194" i="2" s="1"/>
  <c r="A199" i="2" s="1"/>
  <c r="A204" i="2" s="1"/>
  <c r="A209" i="2" s="1"/>
  <c r="A214" i="2" s="1"/>
  <c r="A219" i="2" s="1"/>
  <c r="A224" i="2" s="1"/>
  <c r="A229" i="2" s="1"/>
  <c r="A234" i="2" s="1"/>
  <c r="A239" i="2" s="1"/>
  <c r="A244" i="2" s="1"/>
  <c r="A178" i="2"/>
  <c r="A183" i="2" s="1"/>
  <c r="A188" i="2" s="1"/>
  <c r="A193" i="2" s="1"/>
  <c r="A198" i="2" s="1"/>
  <c r="A203" i="2" s="1"/>
  <c r="A208" i="2" s="1"/>
  <c r="A213" i="2" s="1"/>
  <c r="A218" i="2" s="1"/>
  <c r="A223" i="2" s="1"/>
  <c r="A228" i="2" s="1"/>
  <c r="A233" i="2" s="1"/>
  <c r="A238" i="2" s="1"/>
  <c r="A243" i="2" s="1"/>
  <c r="A177" i="2"/>
  <c r="A182" i="2" s="1"/>
  <c r="A187" i="2" s="1"/>
  <c r="A192" i="2" s="1"/>
  <c r="A197" i="2" s="1"/>
  <c r="A202" i="2" s="1"/>
  <c r="A207" i="2" s="1"/>
  <c r="A212" i="2" s="1"/>
  <c r="A217" i="2" s="1"/>
  <c r="A222" i="2" s="1"/>
  <c r="A227" i="2" s="1"/>
  <c r="A232" i="2" s="1"/>
  <c r="A237" i="2" s="1"/>
  <c r="A242" i="2" s="1"/>
  <c r="E11" i="2"/>
  <c r="E16" i="2" s="1"/>
  <c r="E21" i="2" s="1"/>
  <c r="E26" i="2" s="1"/>
  <c r="E31" i="2" s="1"/>
  <c r="E36" i="2" s="1"/>
  <c r="E41" i="2" s="1"/>
  <c r="E46" i="2" s="1"/>
  <c r="E51" i="2" s="1"/>
  <c r="E56" i="2" s="1"/>
  <c r="E61" i="2" s="1"/>
  <c r="E66" i="2" s="1"/>
  <c r="E71" i="2" s="1"/>
  <c r="E76" i="2" s="1"/>
  <c r="E81" i="2" s="1"/>
  <c r="E86" i="2" s="1"/>
  <c r="E91" i="2" s="1"/>
  <c r="E96" i="2" s="1"/>
  <c r="E101" i="2" s="1"/>
  <c r="E106" i="2" s="1"/>
  <c r="E111" i="2" s="1"/>
  <c r="E116" i="2" s="1"/>
  <c r="E121" i="2" s="1"/>
  <c r="E126" i="2" s="1"/>
  <c r="E131" i="2" s="1"/>
  <c r="E136" i="2" s="1"/>
  <c r="E141" i="2" s="1"/>
  <c r="E146" i="2" s="1"/>
  <c r="E151" i="2" s="1"/>
  <c r="E156" i="2" s="1"/>
  <c r="E161" i="2" s="1"/>
  <c r="E166" i="2" s="1"/>
  <c r="E171" i="2" s="1"/>
  <c r="E176" i="2" s="1"/>
  <c r="E181" i="2" s="1"/>
  <c r="E186" i="2" s="1"/>
  <c r="E191" i="2" s="1"/>
  <c r="E196" i="2" s="1"/>
  <c r="E201" i="2" s="1"/>
  <c r="E206" i="2" s="1"/>
  <c r="E211" i="2" s="1"/>
  <c r="E216" i="2" s="1"/>
  <c r="E221" i="2" s="1"/>
  <c r="E226" i="2" s="1"/>
  <c r="E231" i="2" s="1"/>
  <c r="E236" i="2" s="1"/>
  <c r="E241" i="2" s="1"/>
  <c r="E246" i="2" s="1"/>
  <c r="A11" i="2"/>
  <c r="A16" i="2" s="1"/>
  <c r="A21" i="2" s="1"/>
  <c r="A26" i="2" s="1"/>
  <c r="A31" i="2" s="1"/>
  <c r="A36" i="2" s="1"/>
  <c r="A41" i="2" s="1"/>
  <c r="A46" i="2" s="1"/>
  <c r="A51" i="2" s="1"/>
  <c r="A56" i="2" s="1"/>
  <c r="A61" i="2" s="1"/>
  <c r="A66" i="2" s="1"/>
  <c r="A71" i="2" s="1"/>
  <c r="A76" i="2" s="1"/>
  <c r="A81" i="2" s="1"/>
  <c r="A86" i="2" s="1"/>
  <c r="A91" i="2" s="1"/>
  <c r="A96" i="2" s="1"/>
  <c r="A101" i="2" s="1"/>
  <c r="A106" i="2" s="1"/>
  <c r="A111" i="2" s="1"/>
  <c r="A116" i="2" s="1"/>
  <c r="A121" i="2" s="1"/>
  <c r="A126" i="2" s="1"/>
  <c r="A131" i="2" s="1"/>
  <c r="A136" i="2" s="1"/>
  <c r="A141" i="2" s="1"/>
  <c r="A146" i="2" s="1"/>
  <c r="A151" i="2" s="1"/>
  <c r="A156" i="2" s="1"/>
  <c r="A161" i="2" s="1"/>
  <c r="A166" i="2" s="1"/>
  <c r="A171" i="2" s="1"/>
  <c r="E10" i="2"/>
  <c r="E15" i="2" s="1"/>
  <c r="E20" i="2" s="1"/>
  <c r="E25" i="2" s="1"/>
  <c r="E30" i="2" s="1"/>
  <c r="E35" i="2" s="1"/>
  <c r="E40" i="2" s="1"/>
  <c r="E45" i="2" s="1"/>
  <c r="E50" i="2" s="1"/>
  <c r="E55" i="2" s="1"/>
  <c r="E60" i="2" s="1"/>
  <c r="E65" i="2" s="1"/>
  <c r="E70" i="2" s="1"/>
  <c r="E75" i="2" s="1"/>
  <c r="E80" i="2" s="1"/>
  <c r="E85" i="2" s="1"/>
  <c r="E90" i="2" s="1"/>
  <c r="E95" i="2" s="1"/>
  <c r="E100" i="2" s="1"/>
  <c r="E105" i="2" s="1"/>
  <c r="E110" i="2" s="1"/>
  <c r="E115" i="2" s="1"/>
  <c r="E120" i="2" s="1"/>
  <c r="E125" i="2" s="1"/>
  <c r="E130" i="2" s="1"/>
  <c r="E135" i="2" s="1"/>
  <c r="E140" i="2" s="1"/>
  <c r="E145" i="2" s="1"/>
  <c r="E150" i="2" s="1"/>
  <c r="E155" i="2" s="1"/>
  <c r="E160" i="2" s="1"/>
  <c r="E165" i="2" s="1"/>
  <c r="E170" i="2" s="1"/>
  <c r="E175" i="2" s="1"/>
  <c r="E180" i="2" s="1"/>
  <c r="E185" i="2" s="1"/>
  <c r="E190" i="2" s="1"/>
  <c r="E195" i="2" s="1"/>
  <c r="E200" i="2" s="1"/>
  <c r="E205" i="2" s="1"/>
  <c r="E210" i="2" s="1"/>
  <c r="E215" i="2" s="1"/>
  <c r="E220" i="2" s="1"/>
  <c r="E225" i="2" s="1"/>
  <c r="E230" i="2" s="1"/>
  <c r="E235" i="2" s="1"/>
  <c r="E240" i="2" s="1"/>
  <c r="E245" i="2" s="1"/>
  <c r="A10" i="2"/>
  <c r="A15" i="2" s="1"/>
  <c r="A20" i="2" s="1"/>
  <c r="A25" i="2" s="1"/>
  <c r="A30" i="2" s="1"/>
  <c r="A35" i="2" s="1"/>
  <c r="A40" i="2" s="1"/>
  <c r="A45" i="2" s="1"/>
  <c r="A50" i="2" s="1"/>
  <c r="A55" i="2" s="1"/>
  <c r="A60" i="2" s="1"/>
  <c r="A65" i="2" s="1"/>
  <c r="A70" i="2" s="1"/>
  <c r="A75" i="2" s="1"/>
  <c r="A80" i="2" s="1"/>
  <c r="A85" i="2" s="1"/>
  <c r="A90" i="2" s="1"/>
  <c r="A95" i="2" s="1"/>
  <c r="A100" i="2" s="1"/>
  <c r="A105" i="2" s="1"/>
  <c r="A110" i="2" s="1"/>
  <c r="A115" i="2" s="1"/>
  <c r="A120" i="2" s="1"/>
  <c r="A125" i="2" s="1"/>
  <c r="A130" i="2" s="1"/>
  <c r="A135" i="2" s="1"/>
  <c r="A140" i="2" s="1"/>
  <c r="A145" i="2" s="1"/>
  <c r="A150" i="2" s="1"/>
  <c r="A155" i="2" s="1"/>
  <c r="A160" i="2" s="1"/>
  <c r="A165" i="2" s="1"/>
  <c r="A170" i="2" s="1"/>
  <c r="E9" i="2"/>
  <c r="E14" i="2" s="1"/>
  <c r="E19" i="2" s="1"/>
  <c r="E24" i="2" s="1"/>
  <c r="E29" i="2" s="1"/>
  <c r="E34" i="2" s="1"/>
  <c r="E39" i="2" s="1"/>
  <c r="E44" i="2" s="1"/>
  <c r="E49" i="2" s="1"/>
  <c r="E54" i="2" s="1"/>
  <c r="E59" i="2" s="1"/>
  <c r="E64" i="2" s="1"/>
  <c r="E69" i="2" s="1"/>
  <c r="E74" i="2" s="1"/>
  <c r="E79" i="2" s="1"/>
  <c r="E84" i="2" s="1"/>
  <c r="E89" i="2" s="1"/>
  <c r="E94" i="2" s="1"/>
  <c r="E99" i="2" s="1"/>
  <c r="E104" i="2" s="1"/>
  <c r="E109" i="2" s="1"/>
  <c r="E114" i="2" s="1"/>
  <c r="E119" i="2" s="1"/>
  <c r="E124" i="2" s="1"/>
  <c r="E129" i="2" s="1"/>
  <c r="E134" i="2" s="1"/>
  <c r="E139" i="2" s="1"/>
  <c r="E144" i="2" s="1"/>
  <c r="E149" i="2" s="1"/>
  <c r="E154" i="2" s="1"/>
  <c r="E159" i="2" s="1"/>
  <c r="E164" i="2" s="1"/>
  <c r="E169" i="2" s="1"/>
  <c r="E174" i="2" s="1"/>
  <c r="E179" i="2" s="1"/>
  <c r="E184" i="2" s="1"/>
  <c r="E189" i="2" s="1"/>
  <c r="E194" i="2" s="1"/>
  <c r="E199" i="2" s="1"/>
  <c r="E204" i="2" s="1"/>
  <c r="E209" i="2" s="1"/>
  <c r="E214" i="2" s="1"/>
  <c r="E219" i="2" s="1"/>
  <c r="E224" i="2" s="1"/>
  <c r="E229" i="2" s="1"/>
  <c r="E234" i="2" s="1"/>
  <c r="E239" i="2" s="1"/>
  <c r="E244" i="2" s="1"/>
  <c r="A9" i="2"/>
  <c r="A14" i="2" s="1"/>
  <c r="A19" i="2" s="1"/>
  <c r="A24" i="2" s="1"/>
  <c r="A29" i="2" s="1"/>
  <c r="A34" i="2" s="1"/>
  <c r="A39" i="2" s="1"/>
  <c r="A44" i="2" s="1"/>
  <c r="A49" i="2" s="1"/>
  <c r="A54" i="2" s="1"/>
  <c r="A59" i="2" s="1"/>
  <c r="A64" i="2" s="1"/>
  <c r="A69" i="2" s="1"/>
  <c r="A74" i="2" s="1"/>
  <c r="A79" i="2" s="1"/>
  <c r="A84" i="2" s="1"/>
  <c r="A89" i="2" s="1"/>
  <c r="A94" i="2" s="1"/>
  <c r="A99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E8" i="2"/>
  <c r="E13" i="2" s="1"/>
  <c r="E18" i="2" s="1"/>
  <c r="E23" i="2" s="1"/>
  <c r="E28" i="2" s="1"/>
  <c r="E33" i="2" s="1"/>
  <c r="E38" i="2" s="1"/>
  <c r="E43" i="2" s="1"/>
  <c r="E48" i="2" s="1"/>
  <c r="E53" i="2" s="1"/>
  <c r="E58" i="2" s="1"/>
  <c r="E63" i="2" s="1"/>
  <c r="E68" i="2" s="1"/>
  <c r="E73" i="2" s="1"/>
  <c r="E78" i="2" s="1"/>
  <c r="E83" i="2" s="1"/>
  <c r="E88" i="2" s="1"/>
  <c r="E93" i="2" s="1"/>
  <c r="E98" i="2" s="1"/>
  <c r="E103" i="2" s="1"/>
  <c r="E108" i="2" s="1"/>
  <c r="E113" i="2" s="1"/>
  <c r="E118" i="2" s="1"/>
  <c r="E123" i="2" s="1"/>
  <c r="E128" i="2" s="1"/>
  <c r="E133" i="2" s="1"/>
  <c r="E138" i="2" s="1"/>
  <c r="E143" i="2" s="1"/>
  <c r="E148" i="2" s="1"/>
  <c r="E153" i="2" s="1"/>
  <c r="E158" i="2" s="1"/>
  <c r="E163" i="2" s="1"/>
  <c r="E168" i="2" s="1"/>
  <c r="E173" i="2" s="1"/>
  <c r="E178" i="2" s="1"/>
  <c r="E183" i="2" s="1"/>
  <c r="E188" i="2" s="1"/>
  <c r="E193" i="2" s="1"/>
  <c r="E198" i="2" s="1"/>
  <c r="E203" i="2" s="1"/>
  <c r="E208" i="2" s="1"/>
  <c r="E213" i="2" s="1"/>
  <c r="E218" i="2" s="1"/>
  <c r="E223" i="2" s="1"/>
  <c r="E228" i="2" s="1"/>
  <c r="E233" i="2" s="1"/>
  <c r="E238" i="2" s="1"/>
  <c r="E243" i="2" s="1"/>
  <c r="A8" i="2"/>
  <c r="A13" i="2" s="1"/>
  <c r="A18" i="2" s="1"/>
  <c r="A23" i="2" s="1"/>
  <c r="A28" i="2" s="1"/>
  <c r="A33" i="2" s="1"/>
  <c r="A38" i="2" s="1"/>
  <c r="A43" i="2" s="1"/>
  <c r="A48" i="2" s="1"/>
  <c r="A53" i="2" s="1"/>
  <c r="A58" i="2" s="1"/>
  <c r="A63" i="2" s="1"/>
  <c r="A68" i="2" s="1"/>
  <c r="A73" i="2" s="1"/>
  <c r="A78" i="2" s="1"/>
  <c r="A83" i="2" s="1"/>
  <c r="A88" i="2" s="1"/>
  <c r="A93" i="2" s="1"/>
  <c r="A98" i="2" s="1"/>
  <c r="A103" i="2" s="1"/>
  <c r="A108" i="2" s="1"/>
  <c r="A113" i="2" s="1"/>
  <c r="A118" i="2" s="1"/>
  <c r="A123" i="2" s="1"/>
  <c r="A128" i="2" s="1"/>
  <c r="A133" i="2" s="1"/>
  <c r="A138" i="2" s="1"/>
  <c r="A143" i="2" s="1"/>
  <c r="A148" i="2" s="1"/>
  <c r="A153" i="2" s="1"/>
  <c r="A158" i="2" s="1"/>
  <c r="A163" i="2" s="1"/>
  <c r="A168" i="2" s="1"/>
  <c r="E7" i="2"/>
  <c r="E12" i="2" s="1"/>
  <c r="E17" i="2" s="1"/>
  <c r="E22" i="2" s="1"/>
  <c r="E27" i="2" s="1"/>
  <c r="E32" i="2" s="1"/>
  <c r="E37" i="2" s="1"/>
  <c r="E42" i="2" s="1"/>
  <c r="E47" i="2" s="1"/>
  <c r="E52" i="2" s="1"/>
  <c r="E57" i="2" s="1"/>
  <c r="E62" i="2" s="1"/>
  <c r="E67" i="2" s="1"/>
  <c r="E72" i="2" s="1"/>
  <c r="E77" i="2" s="1"/>
  <c r="E82" i="2" s="1"/>
  <c r="E87" i="2" s="1"/>
  <c r="E92" i="2" s="1"/>
  <c r="E97" i="2" s="1"/>
  <c r="E102" i="2" s="1"/>
  <c r="E107" i="2" s="1"/>
  <c r="E112" i="2" s="1"/>
  <c r="E117" i="2" s="1"/>
  <c r="E122" i="2" s="1"/>
  <c r="E127" i="2" s="1"/>
  <c r="E132" i="2" s="1"/>
  <c r="E137" i="2" s="1"/>
  <c r="E142" i="2" s="1"/>
  <c r="E147" i="2" s="1"/>
  <c r="E152" i="2" s="1"/>
  <c r="E157" i="2" s="1"/>
  <c r="E162" i="2" s="1"/>
  <c r="E167" i="2" s="1"/>
  <c r="E172" i="2" s="1"/>
  <c r="E177" i="2" s="1"/>
  <c r="E182" i="2" s="1"/>
  <c r="E187" i="2" s="1"/>
  <c r="E192" i="2" s="1"/>
  <c r="E197" i="2" s="1"/>
  <c r="E202" i="2" s="1"/>
  <c r="E207" i="2" s="1"/>
  <c r="E212" i="2" s="1"/>
  <c r="E217" i="2" s="1"/>
  <c r="E222" i="2" s="1"/>
  <c r="E227" i="2" s="1"/>
  <c r="E232" i="2" s="1"/>
  <c r="E237" i="2" s="1"/>
  <c r="E242" i="2" s="1"/>
  <c r="A7" i="2"/>
  <c r="A12" i="2" s="1"/>
  <c r="A17" i="2" s="1"/>
  <c r="A22" i="2" s="1"/>
  <c r="A27" i="2" s="1"/>
  <c r="A32" i="2" s="1"/>
  <c r="A37" i="2" s="1"/>
  <c r="A42" i="2" s="1"/>
  <c r="A47" i="2" s="1"/>
  <c r="A52" i="2" s="1"/>
  <c r="A57" i="2" s="1"/>
  <c r="A62" i="2" s="1"/>
  <c r="A67" i="2" s="1"/>
  <c r="A72" i="2" s="1"/>
  <c r="A77" i="2" s="1"/>
  <c r="A82" i="2" s="1"/>
  <c r="A87" i="2" s="1"/>
  <c r="A92" i="2" s="1"/>
  <c r="A97" i="2" s="1"/>
  <c r="A102" i="2" s="1"/>
  <c r="A107" i="2" s="1"/>
  <c r="A112" i="2" s="1"/>
  <c r="A117" i="2" s="1"/>
  <c r="A122" i="2" s="1"/>
  <c r="A127" i="2" s="1"/>
  <c r="A132" i="2" s="1"/>
  <c r="A137" i="2" s="1"/>
  <c r="A142" i="2" s="1"/>
  <c r="A147" i="2" s="1"/>
  <c r="A152" i="2" s="1"/>
  <c r="A157" i="2" s="1"/>
  <c r="A162" i="2" s="1"/>
  <c r="A167" i="2" s="1"/>
  <c r="G51" i="1"/>
  <c r="G56" i="1" s="1"/>
  <c r="G61" i="1" s="1"/>
  <c r="G50" i="1"/>
  <c r="G55" i="1" s="1"/>
  <c r="G60" i="1" s="1"/>
  <c r="G49" i="1"/>
  <c r="G54" i="1" s="1"/>
  <c r="G59" i="1" s="1"/>
  <c r="G48" i="1"/>
  <c r="G53" i="1" s="1"/>
  <c r="G58" i="1" s="1"/>
  <c r="G47" i="1"/>
  <c r="G52" i="1" s="1"/>
  <c r="G57" i="1" s="1"/>
  <c r="J41" i="1"/>
  <c r="J46" i="1" s="1"/>
  <c r="J40" i="1"/>
  <c r="J45" i="1" s="1"/>
  <c r="J39" i="1"/>
  <c r="J44" i="1" s="1"/>
  <c r="J38" i="1"/>
  <c r="J43" i="1" s="1"/>
  <c r="J37" i="1"/>
  <c r="J42" i="1" s="1"/>
  <c r="J11" i="1"/>
  <c r="J16" i="1" s="1"/>
  <c r="G11" i="1"/>
  <c r="G16" i="1" s="1"/>
  <c r="G21" i="1" s="1"/>
  <c r="G26" i="1" s="1"/>
  <c r="G31" i="1" s="1"/>
  <c r="E11" i="1"/>
  <c r="E16" i="1" s="1"/>
  <c r="E21" i="1" s="1"/>
  <c r="E26" i="1" s="1"/>
  <c r="E31" i="1" s="1"/>
  <c r="E36" i="1" s="1"/>
  <c r="E41" i="1" s="1"/>
  <c r="E46" i="1" s="1"/>
  <c r="E51" i="1" s="1"/>
  <c r="E56" i="1" s="1"/>
  <c r="E61" i="1" s="1"/>
  <c r="E66" i="1" s="1"/>
  <c r="A11" i="1"/>
  <c r="A16" i="1" s="1"/>
  <c r="A21" i="1" s="1"/>
  <c r="A26" i="1" s="1"/>
  <c r="A31" i="1" s="1"/>
  <c r="A36" i="1" s="1"/>
  <c r="A41" i="1" s="1"/>
  <c r="A46" i="1" s="1"/>
  <c r="A51" i="1" s="1"/>
  <c r="A56" i="1" s="1"/>
  <c r="A61" i="1" s="1"/>
  <c r="J10" i="1"/>
  <c r="J15" i="1" s="1"/>
  <c r="G10" i="1"/>
  <c r="G15" i="1" s="1"/>
  <c r="G20" i="1" s="1"/>
  <c r="G25" i="1" s="1"/>
  <c r="G30" i="1" s="1"/>
  <c r="E10" i="1"/>
  <c r="E15" i="1" s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A10" i="1"/>
  <c r="A15" i="1" s="1"/>
  <c r="A20" i="1" s="1"/>
  <c r="A25" i="1" s="1"/>
  <c r="A30" i="1" s="1"/>
  <c r="A35" i="1" s="1"/>
  <c r="A40" i="1" s="1"/>
  <c r="A45" i="1" s="1"/>
  <c r="A50" i="1" s="1"/>
  <c r="A55" i="1" s="1"/>
  <c r="A60" i="1" s="1"/>
  <c r="J9" i="1"/>
  <c r="J14" i="1" s="1"/>
  <c r="G9" i="1"/>
  <c r="G14" i="1" s="1"/>
  <c r="G19" i="1" s="1"/>
  <c r="G24" i="1" s="1"/>
  <c r="G29" i="1" s="1"/>
  <c r="E9" i="1"/>
  <c r="E14" i="1" s="1"/>
  <c r="E19" i="1" s="1"/>
  <c r="E24" i="1" s="1"/>
  <c r="E29" i="1" s="1"/>
  <c r="E34" i="1" s="1"/>
  <c r="E39" i="1" s="1"/>
  <c r="E44" i="1" s="1"/>
  <c r="E49" i="1" s="1"/>
  <c r="E54" i="1" s="1"/>
  <c r="E59" i="1" s="1"/>
  <c r="E64" i="1" s="1"/>
  <c r="A9" i="1"/>
  <c r="A14" i="1" s="1"/>
  <c r="A19" i="1" s="1"/>
  <c r="A24" i="1" s="1"/>
  <c r="A29" i="1" s="1"/>
  <c r="A34" i="1" s="1"/>
  <c r="A39" i="1" s="1"/>
  <c r="A44" i="1" s="1"/>
  <c r="A49" i="1" s="1"/>
  <c r="A54" i="1" s="1"/>
  <c r="A59" i="1" s="1"/>
  <c r="J8" i="1"/>
  <c r="J13" i="1" s="1"/>
  <c r="G8" i="1"/>
  <c r="G13" i="1" s="1"/>
  <c r="G18" i="1" s="1"/>
  <c r="G23" i="1" s="1"/>
  <c r="G28" i="1" s="1"/>
  <c r="E8" i="1"/>
  <c r="E13" i="1" s="1"/>
  <c r="E18" i="1" s="1"/>
  <c r="E23" i="1" s="1"/>
  <c r="E28" i="1" s="1"/>
  <c r="E33" i="1" s="1"/>
  <c r="E38" i="1" s="1"/>
  <c r="E43" i="1" s="1"/>
  <c r="E48" i="1" s="1"/>
  <c r="E53" i="1" s="1"/>
  <c r="E58" i="1" s="1"/>
  <c r="E63" i="1" s="1"/>
  <c r="A8" i="1"/>
  <c r="A13" i="1" s="1"/>
  <c r="A18" i="1" s="1"/>
  <c r="A23" i="1" s="1"/>
  <c r="A28" i="1" s="1"/>
  <c r="A33" i="1" s="1"/>
  <c r="A38" i="1" s="1"/>
  <c r="A43" i="1" s="1"/>
  <c r="A48" i="1" s="1"/>
  <c r="A53" i="1" s="1"/>
  <c r="A58" i="1" s="1"/>
  <c r="J7" i="1"/>
  <c r="J12" i="1" s="1"/>
  <c r="G7" i="1"/>
  <c r="G12" i="1" s="1"/>
  <c r="G17" i="1" s="1"/>
  <c r="G22" i="1" s="1"/>
  <c r="G27" i="1" s="1"/>
  <c r="E7" i="1"/>
  <c r="E12" i="1" s="1"/>
  <c r="E17" i="1" s="1"/>
  <c r="E22" i="1" s="1"/>
  <c r="E27" i="1" s="1"/>
  <c r="E32" i="1" s="1"/>
  <c r="E37" i="1" s="1"/>
  <c r="E42" i="1" s="1"/>
  <c r="E47" i="1" s="1"/>
  <c r="E52" i="1" s="1"/>
  <c r="E57" i="1" s="1"/>
  <c r="E62" i="1" s="1"/>
  <c r="A7" i="1"/>
  <c r="A12" i="1" s="1"/>
  <c r="A17" i="1" s="1"/>
  <c r="A22" i="1" s="1"/>
  <c r="A27" i="1" s="1"/>
  <c r="A32" i="1" s="1"/>
  <c r="A37" i="1" s="1"/>
  <c r="A42" i="1" s="1"/>
  <c r="A47" i="1" s="1"/>
  <c r="A52" i="1" s="1"/>
  <c r="A57" i="1" s="1"/>
</calcChain>
</file>

<file path=xl/sharedStrings.xml><?xml version="1.0" encoding="utf-8"?>
<sst xmlns="http://schemas.openxmlformats.org/spreadsheetml/2006/main" count="8997" uniqueCount="1187">
  <si>
    <t>id</t>
  </si>
  <si>
    <t>type</t>
  </si>
  <si>
    <t>plan</t>
  </si>
  <si>
    <t>rarity</t>
  </si>
  <si>
    <t>limit_break</t>
  </si>
  <si>
    <t>sp_r</t>
  </si>
  <si>
    <t>start_b</t>
  </si>
  <si>
    <t>spp</t>
  </si>
  <si>
    <t>pb</t>
  </si>
  <si>
    <t>lb</t>
  </si>
  <si>
    <t>sp_lb</t>
  </si>
  <si>
    <t>sp_lb20</t>
  </si>
  <si>
    <t>n_lb</t>
  </si>
  <si>
    <t>rest_b</t>
  </si>
  <si>
    <t>gift_b</t>
  </si>
  <si>
    <t>date_b</t>
  </si>
  <si>
    <t>shop_b</t>
  </si>
  <si>
    <t>class_b</t>
  </si>
  <si>
    <t>s_guidance</t>
  </si>
  <si>
    <t>ub</t>
  </si>
  <si>
    <t>a_ub</t>
  </si>
  <si>
    <t>m_ub</t>
  </si>
  <si>
    <t>cb</t>
  </si>
  <si>
    <t>ssr_cb</t>
  </si>
  <si>
    <t>m_cb</t>
  </si>
  <si>
    <t>a_cb</t>
  </si>
  <si>
    <t>cond_cb</t>
  </si>
  <si>
    <t>conc_cb</t>
  </si>
  <si>
    <t>imp_cb</t>
  </si>
  <si>
    <t>mot_cb</t>
  </si>
  <si>
    <t>pres_cb</t>
  </si>
  <si>
    <t>str_cb</t>
  </si>
  <si>
    <t>fpp_cb</t>
  </si>
  <si>
    <t>energy_cb</t>
  </si>
  <si>
    <t>delete</t>
  </si>
  <si>
    <t>a_delete</t>
  </si>
  <si>
    <t>m_delete</t>
  </si>
  <si>
    <t>replace</t>
  </si>
  <si>
    <t>drink_acq</t>
  </si>
  <si>
    <t>drink_buy</t>
  </si>
  <si>
    <t>item_acq</t>
  </si>
  <si>
    <t>cust</t>
  </si>
  <si>
    <t>eb</t>
  </si>
  <si>
    <t>event</t>
  </si>
  <si>
    <t>char_name</t>
  </si>
  <si>
    <t>ability1</t>
  </si>
  <si>
    <t>ability2</t>
  </si>
  <si>
    <t>ability3</t>
  </si>
  <si>
    <t>ability4</t>
  </si>
  <si>
    <t>event1</t>
  </si>
  <si>
    <t>event2</t>
  </si>
  <si>
    <t>event3</t>
  </si>
  <si>
    <t>sig_desc</t>
  </si>
  <si>
    <t>Careful Stretching</t>
  </si>
  <si>
    <t>Gain +20 P points at the start of the produce</t>
  </si>
  <si>
    <t>At the end of a Visual Lesson, gain +1 Visual</t>
  </si>
  <si>
    <t>When Rest is selected, gain +6 Visual</t>
  </si>
  <si>
    <t>Gain +10 Visual</t>
  </si>
  <si>
    <t>Gain +10 P points</t>
  </si>
  <si>
    <t>No Event</t>
  </si>
  <si>
    <t>No Signature</t>
  </si>
  <si>
    <t>Gain +15 Visual</t>
  </si>
  <si>
    <t>Gain +26 Visual at the start of the produce</t>
  </si>
  <si>
    <t>When Rest is selected, gain +11 Visual</t>
  </si>
  <si>
    <t>Gain +28 Visual at the start of the produce</t>
  </si>
  <si>
    <t>Gain +17 Visual</t>
  </si>
  <si>
    <t>At the end of a Visual Lesson, gain +3 Visual</t>
  </si>
  <si>
    <t>Gain +20 Visual</t>
  </si>
  <si>
    <t>Full power, then</t>
  </si>
  <si>
    <t>At the end of a Vocal Lesson, gain +1 Vocal</t>
  </si>
  <si>
    <t>When Rest is selected, gain +6 Vocal</t>
  </si>
  <si>
    <t>Gain +10 Vocal</t>
  </si>
  <si>
    <t>Gain +15 Vocal</t>
  </si>
  <si>
    <t>Gain +26 Vocal at the start of the produce</t>
  </si>
  <si>
    <t>When Rest is selected, gain +11 Vocal</t>
  </si>
  <si>
    <t>Gain +28 Vocal at the start of the produce</t>
  </si>
  <si>
    <t>Gain +17 Vocal</t>
  </si>
  <si>
    <t>At the end of a Vocal Lesson, gain +3 Vocal</t>
  </si>
  <si>
    <t>Gain +20 Vocal</t>
  </si>
  <si>
    <t>Curling hair</t>
  </si>
  <si>
    <t>At the end of a Dance Lesson, gain +1 Dance</t>
  </si>
  <si>
    <t>When Rest is selected, gain +6 Dance</t>
  </si>
  <si>
    <t>Gain +10 Dance</t>
  </si>
  <si>
    <t>Gain +15 Dance</t>
  </si>
  <si>
    <t>Gain +26 Dance at the start of the produce</t>
  </si>
  <si>
    <t>When Rest is selected, gain +11 Dance</t>
  </si>
  <si>
    <t>Gain +28 Dance at the start of the produce</t>
  </si>
  <si>
    <t>Gain +17 Dance</t>
  </si>
  <si>
    <t>At the end of a Dance Lesson, gain +3 Dance</t>
  </si>
  <si>
    <t>Gain +20 Dance</t>
  </si>
  <si>
    <t>A Princes Breath</t>
  </si>
  <si>
    <t>At the end of a Normal Vocal Lesson, gain +5 Vocal</t>
  </si>
  <si>
    <t>At the end of an Outing, gain +4 Vocal</t>
  </si>
  <si>
    <t>At the end of an Outing, gain +7 Vocal</t>
  </si>
  <si>
    <t>At the end of a Normal Vocal Lesson, gain +9 Vocal</t>
  </si>
  <si>
    <t>Dedicated After School Lessons</t>
  </si>
  <si>
    <t>At the end of a Normal Visual Lesson, gain +5 Visual</t>
  </si>
  <si>
    <t>When Activity Provision or Present is selected, gain +4 Visual</t>
  </si>
  <si>
    <t>When Activity Provision or Present is selected, gain +8 Visual</t>
  </si>
  <si>
    <t>At the end of a Normal Visual Lesson, gain +9 Visual</t>
  </si>
  <si>
    <t>Aim for your dreams</t>
  </si>
  <si>
    <t>At the end of a Normal Dance Lesson, gain +5 Dance</t>
  </si>
  <si>
    <t>When Activity Provision or Present is selected, gain +4 Dance</t>
  </si>
  <si>
    <t>When Activity Provision or Present is selected, gain +8 Dance</t>
  </si>
  <si>
    <t>At the end of a Normal Dance Lesson, gain +9 Dance</t>
  </si>
  <si>
    <t>Switch ON !</t>
  </si>
  <si>
    <t>Gain +2.8% in Dance Lessons</t>
  </si>
  <si>
    <t>At the end of an Outing, gain +4 Dance</t>
  </si>
  <si>
    <t>Gain +3.2% in Dance Lessons</t>
  </si>
  <si>
    <t>Gain +3.6% in Dance Lessons</t>
  </si>
  <si>
    <t>At the end of an Outing, gain +7 Dance</t>
  </si>
  <si>
    <t>Gain +4.0% in Dance Lessons</t>
  </si>
  <si>
    <t>Gain +4.3% in Dance Lessons</t>
  </si>
  <si>
    <t>Image Training</t>
  </si>
  <si>
    <t>Gain +2.8% in Vocal Lessons</t>
  </si>
  <si>
    <t>At the end of a Class or Business, gain +2 Vocal</t>
  </si>
  <si>
    <t>Gain +3.2% in Vocal Lessons</t>
  </si>
  <si>
    <t>Gain +3.6% in Vocal Lessons</t>
  </si>
  <si>
    <t>At the end of a Class or Business, gain +3 Vocal</t>
  </si>
  <si>
    <t>Gain +4.0% in Vocal Lessons</t>
  </si>
  <si>
    <t>Gain +4.3% in Vocal Lessons</t>
  </si>
  <si>
    <t>Perfect Planning</t>
  </si>
  <si>
    <t>Gain +2.8% in Visual Lessons</t>
  </si>
  <si>
    <t>At the end of a Class or Business, gain +2 Visual</t>
  </si>
  <si>
    <t>Gain +3.2% in Visual Lessons</t>
  </si>
  <si>
    <t>Gain +3.6% in Visual Lessons</t>
  </si>
  <si>
    <t>At the end of a Class or Business, gain +3 Visual</t>
  </si>
  <si>
    <t>Gain +4.0% in Visual Lessons</t>
  </si>
  <si>
    <t>Gain +4.3% in Visual Lessons</t>
  </si>
  <si>
    <t>At my own pace</t>
  </si>
  <si>
    <t>When Activity Provision or Present is selected, gain +4 Vocal</t>
  </si>
  <si>
    <t>When Activity Provision or Present is selected, gain +8 Vocal</t>
  </si>
  <si>
    <t>Schedule directly from my sister</t>
  </si>
  <si>
    <t>At the end of a Class or Business, gain +2 Dance</t>
  </si>
  <si>
    <t>At the end of a Class or Business, gain +3 Dance</t>
  </si>
  <si>
    <t>A reliable older sister</t>
  </si>
  <si>
    <t>At the end of an Outing, gain +4 Visual</t>
  </si>
  <si>
    <t>At the end of an Outing, gain +7 Visual</t>
  </si>
  <si>
    <t>Big Love Attack</t>
  </si>
  <si>
    <t>Gain +4.4% in Visual Lessons</t>
  </si>
  <si>
    <t>Gain +10.5% chance of a Visual SP Lesson</t>
  </si>
  <si>
    <t>At the end of a Visual SP lesson, gain +7 Visual</t>
  </si>
  <si>
    <t>Signature - Shes my big sister!</t>
  </si>
  <si>
    <t>Gain +22 Visual</t>
  </si>
  <si>
    <t>Cost: -3\nUsable when Lesson CLEAR is below 100%\nParameters : +6 (+10)\nGain +6 (+9) Energy\nNext turn, draw a skill card\nOnce per lesson (cannot be duplicated)</t>
  </si>
  <si>
    <t>Gain +4.9% in Visual Lessons</t>
  </si>
  <si>
    <t>Gain +21% chance of a Visual SP Lesson</t>
  </si>
  <si>
    <t>Gain +5.4% in Visual Lessons</t>
  </si>
  <si>
    <t>Gain +26 Visual</t>
  </si>
  <si>
    <t>Gain +5.9% in Visual Lessons</t>
  </si>
  <si>
    <t>Gain +6.4% in Visual Lessons</t>
  </si>
  <si>
    <t>At the end of a Visual SP lesson, gain +13 Visual</t>
  </si>
  <si>
    <t>Gain +30 Visual</t>
  </si>
  <si>
    <t>Now you turn your back on me</t>
  </si>
  <si>
    <t>Gain +4.4% in Vocal Lessons</t>
  </si>
  <si>
    <t>Gain +10.5% chance of a Vocal SP Lesson</t>
  </si>
  <si>
    <t>At the end of a Vocal SP lesson, gain +7 Vocal</t>
  </si>
  <si>
    <t>Signature - A gift from Misuzu</t>
  </si>
  <si>
    <t>Gain +22 Vocal</t>
  </si>
  <si>
    <t>If Vocal is higher than 400 after a Vocal SP Lesson, a random skill card will be enhanced</t>
  </si>
  <si>
    <t>Gain +4.9% in Vocal Lessons</t>
  </si>
  <si>
    <t>Gain +21% chance of a Vocal SP Lesson</t>
  </si>
  <si>
    <t>Gain +5.4% in Vocal Lessons</t>
  </si>
  <si>
    <t>Gain +26 Vocal</t>
  </si>
  <si>
    <t>Gain +5.9% in Vocal Lessons</t>
  </si>
  <si>
    <t>Gain +6.4% in Vocal Lessons</t>
  </si>
  <si>
    <t>At the end of a Vocal SP lesson, gain +13 Vocal</t>
  </si>
  <si>
    <t>Gain +30 Vocal</t>
  </si>
  <si>
    <t>Slow and steady</t>
  </si>
  <si>
    <t>At the end of a Vocal SP lesson, gain +3 Stamina</t>
  </si>
  <si>
    <t>At the end of a Vocal Lesson, gain +2 Vocal</t>
  </si>
  <si>
    <t>When Activity Provision or Present is selected, gain +6 Vocal</t>
  </si>
  <si>
    <t>Signature - Hot Gaze</t>
  </si>
  <si>
    <t>Cost: 0\nUsable when Energy is 0\nGain +5 (+6) Energy\nGain +2 (+3) turns of Damage Reduction\nNext turn, draw a skill card\nOnce per lesson (cannot be duplicated)</t>
  </si>
  <si>
    <t>At the end of a Vocal SP lesson, gain +5 Stamina</t>
  </si>
  <si>
    <t>When Activity Provision or Present is selected, gain +11 Vocal</t>
  </si>
  <si>
    <t>At the end of a Vocal Lesson, gain +4 Vocal</t>
  </si>
  <si>
    <t>Memorization without love is difficult</t>
  </si>
  <si>
    <t>Gain +15 P points at the start of the produce</t>
  </si>
  <si>
    <t>At the end of a Normal Vocal Lesson, gain +7 Vocal</t>
  </si>
  <si>
    <t>Signature - Defeat the Reclaimed Land Permanent Private Property Law!</t>
  </si>
  <si>
    <t>If Vocal is higher than 400 before an exam or an audition, gain +26 Vocal</t>
  </si>
  <si>
    <t>Gain +30 P points at the start of the produce</t>
  </si>
  <si>
    <t>At the end of a Class or Business, gain +5 Vocal</t>
  </si>
  <si>
    <t>At the end of a Normal Vocal Lesson, gain +13 Vocal</t>
  </si>
  <si>
    <t>Thoughtful teaching</t>
  </si>
  <si>
    <t>At the end of a Visual SP lesson, gain +3 Stamina</t>
  </si>
  <si>
    <t>At the end of a Visual Lesson, gain +2 Visual</t>
  </si>
  <si>
    <t>When Activity Provision or Present is selected, gain +6 Visual</t>
  </si>
  <si>
    <t>Signature - Guidance and encouragement</t>
  </si>
  <si>
    <t>Cost: -5 (-2)\nUsable when Stamina is over 50%\nParameter : +4\nGain +5 Energy\nNext turn, enhance all skill cards\nOnce per lesson (cannot be duplicated)</t>
  </si>
  <si>
    <t>At the end of a Visual SP lesson, gain +5 Stamina</t>
  </si>
  <si>
    <t>When Activity Provision or Present is selected, gain +11 Visual</t>
  </si>
  <si>
    <t>At the end of a Visual Lesson, gain +4 Visual</t>
  </si>
  <si>
    <t>Squishy, cheek</t>
  </si>
  <si>
    <t>At the end of a Normal Visual Lesson, gain +7 Visual</t>
  </si>
  <si>
    <t>Signature - Homemade Treats</t>
  </si>
  <si>
    <t>If Visual is higher than 400 before an exam or an audition, gain +26 Visual</t>
  </si>
  <si>
    <t>At the end of a Class or Business, gain +5 Visual</t>
  </si>
  <si>
    <t>At the end of a Normal Visual Lesson, gain +13 Visual</t>
  </si>
  <si>
    <t>Fascinating quadriceps</t>
  </si>
  <si>
    <t>Gain +4.4% in Dance Lessons</t>
  </si>
  <si>
    <t>At the end of a Dance Lesson, gain +2 Dance</t>
  </si>
  <si>
    <t>When Activity Provision or Present is selected, gain +6 Dance</t>
  </si>
  <si>
    <t>Signature - Stretching talk</t>
  </si>
  <si>
    <t>Gain +22 Dance</t>
  </si>
  <si>
    <t>Cost: -3 (0)\nAvailable after the 3rd turn\nParameter : +3\nGain +2  turns of Damage Reduction\nNext turn, enhance all skill cards\nOnce per lesson (cannot be duplicated)</t>
  </si>
  <si>
    <t>Gain +4.9% in Dance Lessons</t>
  </si>
  <si>
    <t>Gain +5.4% in Dance Lessons</t>
  </si>
  <si>
    <t>Gain +26 Dance</t>
  </si>
  <si>
    <t>Gain +5.9% in Dance Lessons</t>
  </si>
  <si>
    <t>When Activity Provision or Present is selected, gain +11 Dance</t>
  </si>
  <si>
    <t>Gain +6.4% in Dance Lessons</t>
  </si>
  <si>
    <t>At the end of a Dance Lesson, gain +4 Dance</t>
  </si>
  <si>
    <t>Gain +30 Dance</t>
  </si>
  <si>
    <t>Fluffy and exciting</t>
  </si>
  <si>
    <t>Gain +10.5% chance of a Dance SP Lesson</t>
  </si>
  <si>
    <t>At the end of a Dance SP lesson, gain +7 Dance</t>
  </si>
  <si>
    <t>Signature - Fluffy and soft</t>
  </si>
  <si>
    <t>At the end of a SP Lesson, receive 2 random P drinks</t>
  </si>
  <si>
    <t>Gain +21% chance of a Dance SP Lesson</t>
  </si>
  <si>
    <t>At the end of a Dance SP lesson, gain +13 Dance</t>
  </si>
  <si>
    <t>Happy, Embarassed, Dreamy</t>
  </si>
  <si>
    <t>At the end of a Normal Dance Lesson, gain +7 Dance</t>
  </si>
  <si>
    <t>Signature - Big sister encyclopedia</t>
  </si>
  <si>
    <t>If Dance is higher than 400 before an exam or an audition, gain +26 Dance</t>
  </si>
  <si>
    <t>At the end of a Class or Business, gain +5 Dance</t>
  </si>
  <si>
    <t>At the end of a Normal Dance Lesson, gain +13 Dance</t>
  </si>
  <si>
    <t>Food Tasting! Usual SSD</t>
  </si>
  <si>
    <t>At the end of a Dance SP lesson, gain +3 Stamina</t>
  </si>
  <si>
    <t>Signature - Secrets of the SSD example</t>
  </si>
  <si>
    <t>If Stamina is higher than 50% at the end of a Dance Lesson, then increase Dance by +13</t>
  </si>
  <si>
    <t>At the end of a Dance SP lesson, gain +5 Stamina</t>
  </si>
  <si>
    <t>My pace, my life</t>
  </si>
  <si>
    <t>Signature - Napping potpourri together</t>
  </si>
  <si>
    <t>If Stamina is higher than 50% at the end of a Vocal Lesson, then increase Vocal by +13</t>
  </si>
  <si>
    <t>Trembling with excitement</t>
  </si>
  <si>
    <t>Signature - A memo of a talent I found</t>
  </si>
  <si>
    <t>If Stamina is higher than 50% at the end of a Visual Lesson, then increase Visual by +13</t>
  </si>
  <si>
    <t>A classmate who can't be left alone</t>
  </si>
  <si>
    <t>At the end of a lesson, increase the amount of P points gained by 8.3%</t>
  </si>
  <si>
    <t>When enhancing a skill card, gain +2 Vocal</t>
  </si>
  <si>
    <t>At the end of an outing gain +5 Vocal</t>
  </si>
  <si>
    <t>Signature - First thing to help you in the morning</t>
  </si>
  <si>
    <t>If Vocal is 400 or more when enhancing skill cards, gain +15 P points</t>
  </si>
  <si>
    <t>At the end of a lesson, increase the amount of P points gained by 16.5%</t>
  </si>
  <si>
    <t>At the end of an outing gain +10 Vocal</t>
  </si>
  <si>
    <t>When enhancing a skill card, gain +3 Vocal</t>
  </si>
  <si>
    <t>Someday, they will bloom</t>
  </si>
  <si>
    <t>When enhancing a skill card, gain +2 Visual</t>
  </si>
  <si>
    <t>When Rest is selected, gain +9 Visual</t>
  </si>
  <si>
    <t>Signature - Petals of an oath</t>
  </si>
  <si>
    <t>If Visual is higher than 400 after a Visual SP Lesson, a random skill card will be enhanced</t>
  </si>
  <si>
    <t>When Rest is selected, gain +17 Visual</t>
  </si>
  <si>
    <t>When enhancing a skill card, gain +3 Visual</t>
  </si>
  <si>
    <t>Perfect Earphones Split</t>
  </si>
  <si>
    <t>When Rest is selected, gain +9 Vocal</t>
  </si>
  <si>
    <t>Signature - What are you listening to?</t>
  </si>
  <si>
    <t>Cost: 0\nGain +2 Energy\nRecover +2 (+5) Stamina\nOnce per lesson (cannot be duplicated)</t>
  </si>
  <si>
    <t>When Rest is selected, gain +17 Vocal</t>
  </si>
  <si>
    <t>A Quick Snap</t>
  </si>
  <si>
    <t>When Rest is selected, gain +9 Dance</t>
  </si>
  <si>
    <t>Signature - Selfie with a Pose</t>
  </si>
  <si>
    <t>Cost: -4\nGain +3 (+4) Good Shape\nGain +2 (+3) Concentration\nIf Stamina is above 50%, draw one more skill card next turn\nOnce per lesson (cannot be duplicated)</t>
  </si>
  <si>
    <t>When Rest is selected, gain +17 Dance</t>
  </si>
  <si>
    <t>Gotcha</t>
  </si>
  <si>
    <t>Signature - Double Bottle</t>
  </si>
  <si>
    <t>When acquiring a skill card with a Good Shape effect, gain +6 Dance</t>
  </si>
  <si>
    <t>Stiff Stretch</t>
  </si>
  <si>
    <t>Signature - Saki Recommended Mat</t>
  </si>
  <si>
    <t>When acquiring a skill card with a Impression effect, gain +6 Visual</t>
  </si>
  <si>
    <t>Close Encouter of the Fifth Kind</t>
  </si>
  <si>
    <t>Signature - Uchujin Dear</t>
  </si>
  <si>
    <t>When acquiring a skill card with a Concentration effect, gain +6 Vocal</t>
  </si>
  <si>
    <t xml:space="preserve">Tightening it </t>
  </si>
  <si>
    <t>After exchanging P drink in Consultation, gain +4 Dance</t>
  </si>
  <si>
    <t>Signature - Obi of opportunity</t>
  </si>
  <si>
    <t>When Dance is 700+, if you acquire a skill card with a Good Shape effect, select and delete a skill card, and receive 40 P Points\nOnce per produce</t>
  </si>
  <si>
    <t>After exchanging P drink in Consultation, gain +8 Dance</t>
  </si>
  <si>
    <t>Splendid Pampas Grass !</t>
  </si>
  <si>
    <t>At the end of an outing gain +5 Visual</t>
  </si>
  <si>
    <t>Signature - Big and shiny</t>
  </si>
  <si>
    <t>When Visual is 400+, if you acquire a skill card with a Motivation effect, select and enhance a skill card, and gain +2 Stamina\nOnce per produce</t>
  </si>
  <si>
    <t>At the end of an outing gain +10 Visual</t>
  </si>
  <si>
    <t>Break Time with Coffee</t>
  </si>
  <si>
    <t>After exchanging P drink in Consultation, gain +4 Vocal</t>
  </si>
  <si>
    <t>Signature - Sweet Milk Sugar</t>
  </si>
  <si>
    <t>When Vocal is 700+, if you acquire a skill card with a Impression effect, select and copy this skill card, and gain +40 P-Points\nOnce per produce</t>
  </si>
  <si>
    <t>After exchanging P drink in Consultation, gain +8 Vocal</t>
  </si>
  <si>
    <t>The Secrets of SSD</t>
  </si>
  <si>
    <t>Signature - The Best Kept Secret Recipes</t>
  </si>
  <si>
    <t>When Visual is 700+, if you acquire a skill card with a Impression effect, select and delete this skill card, and gain +40 P-Points\nOnce per produce</t>
  </si>
  <si>
    <t>Catching a Dragonfly</t>
  </si>
  <si>
    <t>When enhancing a skill card, gain +2 Dance</t>
  </si>
  <si>
    <t>Signature - I found signs of autumn</t>
  </si>
  <si>
    <t>Dance lesson / Dance turn only\nAt the start of a turn, if Concentration is 5+, gain +10 Parameter\nTwice per lesson</t>
  </si>
  <si>
    <t>When enhancing a skill card, gain +3 Dance</t>
  </si>
  <si>
    <t>Let's make a buzz !</t>
  </si>
  <si>
    <t>At the end of an outing gain +5 Dance</t>
  </si>
  <si>
    <t>Signature - Live...?</t>
  </si>
  <si>
    <t>Cost: -4\nGain +3 (+4) Impressions\nIncrease Parameter by 90% (100%) of Impression\nOnce per lesson (cannot be duplicated)</t>
  </si>
  <si>
    <t>At the end of an outing gain +10 Dance</t>
  </si>
  <si>
    <t>Saury, flap-flap</t>
  </si>
  <si>
    <t>Signature - Seasonal Flavor</t>
  </si>
  <si>
    <t>Cost: -5 (-4)\nGain +4 (+6) Parameter (twice)\nNext turn, all the card in hand are enhanced\nOnce per lesson (cannot be duplicated)</t>
  </si>
  <si>
    <t>Calories /2 equals happiness x2</t>
  </si>
  <si>
    <t>Signature - Half Heartedly</t>
  </si>
  <si>
    <t>When Dance is 700+, when Shop is selected, enhance a random skill card, and receive 50 P Points</t>
  </si>
  <si>
    <t>Gotta Have Fun at the Sea !</t>
  </si>
  <si>
    <t>Signature - Cute Hidden Bath Towel</t>
  </si>
  <si>
    <t>When acquiring a skill card with a Motivation effect, gain +6 Vocal</t>
  </si>
  <si>
    <t>Kind and Gentle</t>
  </si>
  <si>
    <t>Signature - Bonds formed by a broken strap</t>
  </si>
  <si>
    <t>Cost: -3\nGain +4 (+5) Good Shape\nDraw one (two) more skill card next turn\nOnce per lesson (cannot be duplicated)</t>
  </si>
  <si>
    <t>A fluffy mask?</t>
  </si>
  <si>
    <t>Signature - Hunters bounty</t>
  </si>
  <si>
    <t>At the end of a Dance SP Lesson, if Dance is 400+, gain + 60 P Points</t>
  </si>
  <si>
    <t>China's Gratitude</t>
  </si>
  <si>
    <t>When a skill card is deleted, gain +4 Dance</t>
  </si>
  <si>
    <t>Signature - Returning a favor to the young lady</t>
  </si>
  <si>
    <t>When a skill card is deleted, gain +8 Dance</t>
  </si>
  <si>
    <t>Interesting Drink</t>
  </si>
  <si>
    <t>Signature - Im curious about......</t>
  </si>
  <si>
    <r>
      <rPr>
        <sz val="12"/>
        <color theme="1"/>
        <rFont val="Aptos"/>
      </rPr>
      <t xml:space="preserve">Cost: -5 (-4)\nGain +4 (+5) Concentration\nIf </t>
    </r>
    <r>
      <rPr>
        <sz val="12"/>
        <color theme="1"/>
        <rFont val="Segoe UI Emoji"/>
      </rPr>
      <t xml:space="preserve">Concentration </t>
    </r>
    <r>
      <rPr>
        <sz val="12"/>
        <color theme="1"/>
        <rFont val="Aptos"/>
      </rPr>
      <t>is 3+, next turn all cards in hands are enhanced\nOnce per lesson (cannot be duplicated)</t>
    </r>
  </si>
  <si>
    <r>
      <rPr>
        <sz val="12"/>
        <color theme="1"/>
        <rFont val="Aptos"/>
      </rPr>
      <t xml:space="preserve">Cost: -5 (-4)\nGain +4 (+5) Concentration\nIf </t>
    </r>
    <r>
      <rPr>
        <sz val="12"/>
        <color theme="1"/>
        <rFont val="Segoe UI Emoji"/>
      </rPr>
      <t xml:space="preserve">Concentration </t>
    </r>
    <r>
      <rPr>
        <sz val="12"/>
        <color theme="1"/>
        <rFont val="Aptos"/>
      </rPr>
      <t>is 3+, next turn all cards in hands are enhanced\nOnce per lesson (cannot be duplicated)</t>
    </r>
  </si>
  <si>
    <r>
      <rPr>
        <sz val="12"/>
        <color theme="1"/>
        <rFont val="Aptos"/>
      </rPr>
      <t xml:space="preserve">Cost: -5 (-4)\nGain +4 (+5) Concentration\nIf </t>
    </r>
    <r>
      <rPr>
        <sz val="12"/>
        <color theme="1"/>
        <rFont val="Segoe UI Emoji"/>
      </rPr>
      <t xml:space="preserve">Concentration </t>
    </r>
    <r>
      <rPr>
        <sz val="12"/>
        <color theme="1"/>
        <rFont val="Aptos"/>
      </rPr>
      <t>is 3+, next turn all cards in hands are enhanced\nOnce per lesson (cannot be duplicated)</t>
    </r>
  </si>
  <si>
    <r>
      <rPr>
        <sz val="12"/>
        <color theme="1"/>
        <rFont val="Aptos"/>
      </rPr>
      <t xml:space="preserve">Cost: -5 (-4)\nGain +4 (+5) Concentration\nIf </t>
    </r>
    <r>
      <rPr>
        <sz val="12"/>
        <color theme="1"/>
        <rFont val="Segoe UI Emoji"/>
      </rPr>
      <t xml:space="preserve">Concentration </t>
    </r>
    <r>
      <rPr>
        <sz val="12"/>
        <color theme="1"/>
        <rFont val="Aptos"/>
      </rPr>
      <t>is 3+, next turn all cards in hands are enhanced\nOnce per lesson (cannot be duplicated)</t>
    </r>
  </si>
  <si>
    <r>
      <rPr>
        <sz val="12"/>
        <color theme="1"/>
        <rFont val="Aptos"/>
      </rPr>
      <t xml:space="preserve">Cost: -5 (-4)\nGain +4 (+5) Concentration\nIf </t>
    </r>
    <r>
      <rPr>
        <sz val="12"/>
        <color theme="1"/>
        <rFont val="Segoe UI Emoji"/>
      </rPr>
      <t xml:space="preserve">Concentration </t>
    </r>
    <r>
      <rPr>
        <sz val="12"/>
        <color theme="1"/>
        <rFont val="Aptos"/>
      </rPr>
      <t>is 3+, next turn all cards in hands are enhanced\nOnce per lesson (cannot be duplicated)</t>
    </r>
  </si>
  <si>
    <t>Decuple XL</t>
  </si>
  <si>
    <t>Signature - Cool Sweaters</t>
  </si>
  <si>
    <t>Dance lesson / Dance turn only\nAt the start of the turn, if Concentration is 1+, gain +3 Good Shape\nLose -1 Concentration\nOnce per lesson</t>
  </si>
  <si>
    <t>Cute~ Pose</t>
  </si>
  <si>
    <t>Signature - How to make something cute</t>
  </si>
  <si>
    <t>When acquiring a skill card with a Motivation effect, gain +6 Dance</t>
  </si>
  <si>
    <t>Your first friend</t>
  </si>
  <si>
    <t>Gain +65 P points at the start of the produce</t>
  </si>
  <si>
    <t>Gain +5.2% chance of Vocal, Dance and Visual SP lessons</t>
  </si>
  <si>
    <t>Gain a 7.9% discount on all P drinks in Consultation</t>
  </si>
  <si>
    <t>Signature - Full Support</t>
  </si>
  <si>
    <t>Gain +37 P points</t>
  </si>
  <si>
    <t>Cost: -3 (0)\nGain 1 additional skill card use\nNext turn, draw a skill card\nOnce per lesson (cannot be duplicated)</t>
  </si>
  <si>
    <t>Gain +71 P points at the start of the produce</t>
  </si>
  <si>
    <t>Gain +10.5% chance of Vocal, Dance and Visual SP lessons</t>
  </si>
  <si>
    <t>Gain +76 P points at the start of the produce</t>
  </si>
  <si>
    <t>Gain +43 P points</t>
  </si>
  <si>
    <t>Gain +81 P points at the start of the produce</t>
  </si>
  <si>
    <t>Gain +86 P points at the start of the produce</t>
  </si>
  <si>
    <t>Gain a 15.8% discount on all P drinks in Consultation</t>
  </si>
  <si>
    <t>Gain +50 P points</t>
  </si>
  <si>
    <t>Aiming for the top</t>
  </si>
  <si>
    <t>Maximum Stamina increased by +2</t>
  </si>
  <si>
    <t>Signature - Kindness of the trainer</t>
  </si>
  <si>
    <t>At the end of a Dance SP Lesson, gain 1 random P Drink (SR or higher)\nTwice per produce</t>
  </si>
  <si>
    <t>Maximum Stamina increased by +3</t>
  </si>
  <si>
    <t>Strech it out further</t>
  </si>
  <si>
    <t>Signature - Foam Roller</t>
  </si>
  <si>
    <t>At the end of a Visual SP Lesson, gain 1 random P Drink (SR or higher)\nTwice per produce</t>
  </si>
  <si>
    <t>Basics &gt; Application</t>
  </si>
  <si>
    <t>When acquiring a skill card, gain +1 Vocal</t>
  </si>
  <si>
    <t>Signature - Moist throat care</t>
  </si>
  <si>
    <t>At the end of a Vocal SP Lesson, gain 1 random P Drink (SR or higher)\nTwice per produce</t>
  </si>
  <si>
    <t>When acquiring a skill card, gain +2 Vocal</t>
  </si>
  <si>
    <t>Creation of the SSC</t>
  </si>
  <si>
    <t>Signature - Rainbow of Love</t>
  </si>
  <si>
    <t>Cost: 0\nOnly available if Preservation is active\nGain +2 (+3) Full Power Points and +2 (+3) Stamina\nSelect a skill card in the deck and move it to the reserve\nOnce per lesson (cannot be duplicated)</t>
  </si>
  <si>
    <t>With all my heart</t>
  </si>
  <si>
    <t>Signature - It's all about the details</t>
  </si>
  <si>
    <t>Cost: -3 (Red)\nGain +4 (+7) Energy\nIncrease Parameter by 270% (340%) of Motivation\nOnce per lesson (cannot be duplicated)</t>
  </si>
  <si>
    <t>Pyu and Shu duet</t>
  </si>
  <si>
    <t>When enhancing a Mental (M) skill card, gain +4 Dance</t>
  </si>
  <si>
    <t>When acquiring a skill card with an Impression effect, gain +2 Dance</t>
  </si>
  <si>
    <t>Signature - Grass Whistle Harmony</t>
  </si>
  <si>
    <t>Cost: 0\nGain +2 Impression\nRecover +1 (+3) Stamina\nIf Impression is 10+, gain 1 additional skill card use\nOnce per lesson (cannot be duplicated)</t>
  </si>
  <si>
    <t>When enhancing a Mental (M) skill card, gain +6 Dance</t>
  </si>
  <si>
    <t>When acquiring a skill card with an Impression effect, gain +3 Dance</t>
  </si>
  <si>
    <t>Insect Lover Prince</t>
  </si>
  <si>
    <t>When a skill card is deleted, gain +4 Visual</t>
  </si>
  <si>
    <t>Signature - Small customer</t>
  </si>
  <si>
    <t>Cost: -6 (-4)\nNext turn, swap to Preservation\nNext turn, gain +2 (+3) Full Power Points\nIf Full Power is active, gain +24 Parameter\nOnce per lesson (cannot be duplicated)</t>
  </si>
  <si>
    <t>When a skill card is deleted, gain +8 Visual</t>
  </si>
  <si>
    <t>Girls Talk</t>
  </si>
  <si>
    <t>Signature - Gyaru make-up!</t>
  </si>
  <si>
    <t>When Dance is 700+, if you enhance a skill card with a Good Shape effect, enhance a random skill card\nTwice per produce</t>
  </si>
  <si>
    <t>Secret technique, triple jump!</t>
  </si>
  <si>
    <t>Signature - Jump Rope of Bonds</t>
  </si>
  <si>
    <t>When acquiring a skill card with a Full Power effect, gain +6 Visual</t>
  </si>
  <si>
    <t>Humilating 2nd Place</t>
  </si>
  <si>
    <t>When a skill card is deleted, gain +4 Vocal</t>
  </si>
  <si>
    <t>Signature - Clenched Towel</t>
  </si>
  <si>
    <t>When enhancing a skill card with a Impression effect, if Vocal is 700+, enhance a random skill card\nTwice per produce</t>
  </si>
  <si>
    <t>When a skill card is deleted, gain +8 Vocal</t>
  </si>
  <si>
    <t>Two people please~</t>
  </si>
  <si>
    <t>Signature - Leftover carrots</t>
  </si>
  <si>
    <t>When acquiring a skill card with an Energy effect, gain +6 Vocal</t>
  </si>
  <si>
    <t>Omogashi, Sweet, Light Tea, Bitter</t>
  </si>
  <si>
    <t>Signature - The Art of Omotenashi</t>
  </si>
  <si>
    <t>When enhancing a skill card with a Preservation effect, if Visual is 700+, enhance a random skill card\nTwice per produce</t>
  </si>
  <si>
    <t>Un, Deux, Trois!</t>
  </si>
  <si>
    <t>Signature - Stretching Band</t>
  </si>
  <si>
    <t>When acquiring a skill card with a Strength effect, gain +6 Dance</t>
  </si>
  <si>
    <t>Bang Bang</t>
  </si>
  <si>
    <t>When a Mental skill card is deleted, gain +8 Visual (only thrice per produce)</t>
  </si>
  <si>
    <t>Signature - Exhausted</t>
  </si>
  <si>
    <t>When acquiring a skill card with a Good Impression effect, if Visual is 200+, select and enhance a skill card\nOnce per produce</t>
  </si>
  <si>
    <t>When a Mental skill card is deleted, gain +16 Visual (only thrice per produce)</t>
  </si>
  <si>
    <t>Super Tricky Fashion Show</t>
  </si>
  <si>
    <t>When acquiring a skill card with a Concentration effect, gain +2 Dance</t>
  </si>
  <si>
    <t>Signature - Fitting Necktie</t>
  </si>
  <si>
    <t>If Dance is 700+ when selecting Activity provision or Present, recover 5 Stamina and gain +40 P Points\nTwice per produce</t>
  </si>
  <si>
    <t>When acquiring a skill card with a Concentration effect, gain +3 Dance</t>
  </si>
  <si>
    <t>Sparta &amp; Spice</t>
  </si>
  <si>
    <t>When acquiring a skill card with a Preservation effect, gain +2 Vocal</t>
  </si>
  <si>
    <t>Signature - Bamboo Sword</t>
  </si>
  <si>
    <t>If Vocal is 700+ at the start of a Special Guidance, delete one random Trouble card and gain +40 P points\nOnce per produce</t>
  </si>
  <si>
    <t>When acquiring a skill card with a Preservation effect, gain +3 Vocal</t>
  </si>
  <si>
    <t>Today is just an observation</t>
  </si>
  <si>
    <t>When a Mental (M) skill card is deleted, gain +8 Dance (only thrice per produce)</t>
  </si>
  <si>
    <t>When Activity provision or Present is selected, gain +6 Dance</t>
  </si>
  <si>
    <t>Signature - Slacker Towel</t>
  </si>
  <si>
    <t>Dance lesson / Dance turn only\nAt the start of the turn, gain +4 Fixed Energy\nNext turn, gain +1 Status Immunity\nOnce per lesson</t>
  </si>
  <si>
    <t>When a Mental (M) skill card is deleted, gain +16 Dance (only thrice per produce)</t>
  </si>
  <si>
    <t>When Activity provision or Present is selected, gain +11 Dance</t>
  </si>
  <si>
    <t>A chill moment</t>
  </si>
  <si>
    <t>When acquiring a skill card, gain +1 Visual</t>
  </si>
  <si>
    <t>Signature - Revival Ice Cream</t>
  </si>
  <si>
    <t>When Visual is 700+, if you acquire a skill card with a Concentration effect, remove a random Trouble card and gain +30 Visual\nOnce per produce</t>
  </si>
  <si>
    <t>When acquiring a skill card, gain +2 Visual</t>
  </si>
  <si>
    <t>Master and disciple training</t>
  </si>
  <si>
    <t>When customizing a skill card, gain +5 Visual (6 times per produce)</t>
  </si>
  <si>
    <t>When acquiring a skill card with a Motivation effect, gain +2 Visual</t>
  </si>
  <si>
    <t>Signature - Leaf-catching technique</t>
  </si>
  <si>
    <t>If visual is 400 or higher at the start of special consult, visual increase + 30 \nTwice per produce</t>
  </si>
  <si>
    <t>When customizing a skill card, gain +8 Visual (6 times per produce)</t>
  </si>
  <si>
    <t>When acquiring a skill card with a Motivation effect, gain +3 Visual</t>
  </si>
  <si>
    <t>Prickly Alert</t>
  </si>
  <si>
    <t>When you acquire a skill card (SSR), gain +3 Vocal</t>
  </si>
  <si>
    <t>At the start of a Special Guidance gain +9 Vocal (thrice per produce)</t>
  </si>
  <si>
    <t>Signature - A basket full of results</t>
  </si>
  <si>
    <t>When acquiring a skill card with a Preservation effect, if Vocal is 700+, delete a random Trouble card and gain +30 Vocal\nOnce per produce</t>
  </si>
  <si>
    <t>When you acquire a skill card (SSR), gain +5 Vocal</t>
  </si>
  <si>
    <t>At the start of a Special Guidance gain +18 Vocal (thrice per produce)</t>
  </si>
  <si>
    <t>Keep your core strong with your abs and back!</t>
  </si>
  <si>
    <t>When acquiring a skill card with a Impression effect, gain +2 Visual</t>
  </si>
  <si>
    <t>When acquiring a P Item, gain +6 Visual (6 times per produce)</t>
  </si>
  <si>
    <t>Signature - Sharp stretching</t>
  </si>
  <si>
    <t>When Visual is 700+, if you acquire a skill card with a Good Impression effect, remove a random Trouble card and gain +30 Visual\nOnce per produce</t>
  </si>
  <si>
    <t>When acquiring a skill card with a Impression effect, gain +3 Visual</t>
  </si>
  <si>
    <t>When acquiring a P Item, gain +11 Visual (6 times per produce)</t>
  </si>
  <si>
    <t>Happy Halloween!</t>
  </si>
  <si>
    <t>Signature - Surprise Costume Goods</t>
  </si>
  <si>
    <t>When acquiring a skill card with a Good Shape effect, if Dance is 700+, gain +20 Dance and receive a random P drink\nTwice per produce</t>
  </si>
  <si>
    <t>Warm foot massage</t>
  </si>
  <si>
    <t>When customizing a skill card, gain +5 Vocal (6 times per produce)</t>
  </si>
  <si>
    <t>Signature - Intense pain followed by warmth</t>
  </si>
  <si>
    <t>When acquiring a skill card with a Good Impression effect, if Vocal is 700+, select and delete a skill card, and gain +40 P Points</t>
  </si>
  <si>
    <t>When customizing a skill card, gain +8 Vocal (6 times per produce)</t>
  </si>
  <si>
    <t>Cheerful greetings</t>
  </si>
  <si>
    <t>Signature - Greeting Lessons</t>
  </si>
  <si>
    <t>When Visual is 400+, if you acquire a skill card with a Good Shape effect, recover 4 Stamina\n5 times per produce</t>
  </si>
  <si>
    <t>Sleeping Prince</t>
  </si>
  <si>
    <t>At the end of a SP lesson, if you have 20+ skill cards, gain +8 Vocal (4 times per produce)</t>
  </si>
  <si>
    <t>Signature - Naptime Blanket</t>
  </si>
  <si>
    <t>When Vocal is 700+, if you acquire a skill card with a Concentration effect, recover 4 Stamina and gain +20 P Points\nTwice per produce</t>
  </si>
  <si>
    <t>At the end of a SP lesson, if you have 20+ skill cards, gain +15 Vocal (4 times per produce)</t>
  </si>
  <si>
    <t>Buddy?</t>
  </si>
  <si>
    <t>When acquiring a P Item, gain +6 Vocal (6 times per produce)</t>
  </si>
  <si>
    <t>Signature - Embroidery Mending Kit</t>
  </si>
  <si>
    <t>When Vocal is 400+, if you acquire a skill card with a Motivation effect, recover 4 Stamina\n5 times per produce</t>
  </si>
  <si>
    <t>When acquiring a P Item, gain +11 Vocal (6 times per produce)</t>
  </si>
  <si>
    <t>Squeak, Squeak, Pop</t>
  </si>
  <si>
    <t>When acquiring a skill card with a Preservation effect, gain +2 Dance</t>
  </si>
  <si>
    <t>Signature - Hit it and put it on</t>
  </si>
  <si>
    <t>Dance lesson / Dance turn only\nAt the start of the turn, if Strength is active, reduce the cost of all cards in hand by -3 Stamina\nOnce per lesson</t>
  </si>
  <si>
    <t>When acquiring a skill card with a Preservation effect, gain +3 Dance</t>
  </si>
  <si>
    <t>I'll make one for you too</t>
  </si>
  <si>
    <t>Signature - Mysterious object</t>
  </si>
  <si>
    <t>Basic Replace</t>
  </si>
  <si>
    <t>VIsual lesson / Visual turn only\nAt the start of a turn, increase Parameter by 50% for 1 turn\nThrice per lesson</t>
  </si>
  <si>
    <t>Gain +35 Visual</t>
  </si>
  <si>
    <t>Gain +40 P points at the start of the produce</t>
  </si>
  <si>
    <t>At the end of a Visual Lesson, gain +6 Visual</t>
  </si>
  <si>
    <t>When Rest is selected, gain +22 Visual</t>
  </si>
  <si>
    <t>Gain +40 Visual</t>
  </si>
  <si>
    <t>Leave it to your sister !</t>
  </si>
  <si>
    <t>Gain +6.5% in Visual Lessons</t>
  </si>
  <si>
    <t>At the end of a Visual SP lesson, increase the amount of P points gained by 33%</t>
  </si>
  <si>
    <t>Signature - Pair of hairpins in full bloom</t>
  </si>
  <si>
    <t>Random Enhance</t>
  </si>
  <si>
    <t>Visual lesson / Visual turn only\nWhen using an Active (A) card, recover +2 Stamina\nThrice per lesson</t>
  </si>
  <si>
    <t>Gain +7.0% in Visual Lessons</t>
  </si>
  <si>
    <t>Gain +7.5% in Visual Lessons</t>
  </si>
  <si>
    <t>At the end of a Visual SP lesson, increase the amount of P points gained by 45%</t>
  </si>
  <si>
    <t>Gain +8.0% in Visual Lessons</t>
  </si>
  <si>
    <t>At the end of a Visual SP lesson, gain +17 Visual</t>
  </si>
  <si>
    <t>Gain +8.5% in Visual Lessons</t>
  </si>
  <si>
    <t>When enhancing a skill card, gain +4 Visual</t>
  </si>
  <si>
    <t>Gnnnnnnn...!</t>
  </si>
  <si>
    <t>Gain +6.5% in Dance Lessons</t>
  </si>
  <si>
    <t>When Activity Provision or Present is selected, gain +12 Dance</t>
  </si>
  <si>
    <t>When acquiring a Mental (M) card, gain +2 Dance</t>
  </si>
  <si>
    <t>Signature - Symbol of regret</t>
  </si>
  <si>
    <t>Dance lesson / Dance turn only\nAt the start of a turn, gain 50% Parameter Increase for 1 turn\nThrice per lesson</t>
  </si>
  <si>
    <t>Gain +7.0% in Dance Lessons</t>
  </si>
  <si>
    <t>Gain +35 Dance</t>
  </si>
  <si>
    <t>Gain +7.5% in Dance Lessons</t>
  </si>
  <si>
    <t>At the end of a Dance SP lesson, gain +7 Stamina</t>
  </si>
  <si>
    <t>Gain +8.0% in Dance Lessons</t>
  </si>
  <si>
    <t>When Activity Provision or Present is selected, gain +17 Dance</t>
  </si>
  <si>
    <t>Gain +8.5% in Dance Lessons</t>
  </si>
  <si>
    <t>When acquiring a Mental (M) card, gain +3 Dance</t>
  </si>
  <si>
    <t>Gain +40 Dance</t>
  </si>
  <si>
    <t>In the next season.</t>
  </si>
  <si>
    <t>Gain +6.5% in Vocal Lessons</t>
  </si>
  <si>
    <t>Signature - Season of Blossom</t>
  </si>
  <si>
    <t>Cost: -4 (-1)\nGenerate a random enhanced skill card then gain 1 additional skill card use\nNext turn, draw a skill card\nOnce per lesson (cannot be duplicated)</t>
  </si>
  <si>
    <t>Gain +7.0% in Vocal Lessons</t>
  </si>
  <si>
    <t>Gain +35 Vocal</t>
  </si>
  <si>
    <t>Gain +7.5% in Vocal Lessons</t>
  </si>
  <si>
    <t>Gain +8.0% in Vocal Lessons</t>
  </si>
  <si>
    <t>At the end of a Vocal Lesson, gain +6 Vocal</t>
  </si>
  <si>
    <t>Gain +8.5% in Vocal Lessons</t>
  </si>
  <si>
    <t>When enhancing a skill card, gain +4 Vocal</t>
  </si>
  <si>
    <t>Gain +40 Vocal</t>
  </si>
  <si>
    <t>Great work China</t>
  </si>
  <si>
    <t>When acquiring a Active (A) card, gain +2 Visual</t>
  </si>
  <si>
    <t>Signature - Sunny Student Council Room</t>
  </si>
  <si>
    <t>Cost: -3 (-2)\nRecover +3 (+5) Stamina\nGain 1 additional skill card use\nOnce per lesson (cannot be duplicated)</t>
  </si>
  <si>
    <t>When acquiring a Active (A) card, gain +3 Visual</t>
  </si>
  <si>
    <t>Just like a prince</t>
  </si>
  <si>
    <t>When acquiring a Mental (M) card, gain +2 Visual</t>
  </si>
  <si>
    <t>Signature - The Little Prince of the Stars</t>
  </si>
  <si>
    <t>Visual lesson / Visual turn only\nAt the start of the turn, gain +2 Fixed Energy</t>
  </si>
  <si>
    <t>Gain +28% chance of a Visual SP Lesson</t>
  </si>
  <si>
    <t>When acquiring a Mental (M) card, gain +3 Visual</t>
  </si>
  <si>
    <t>Hungry faces, Please !</t>
  </si>
  <si>
    <t>Signature - Heart Album</t>
  </si>
  <si>
    <t>Cost: 0\nParameter: +3 (+6)\nGain +3 (+5) Energy\nIn the next 2 turns after this card is played, draw 1 additional skill card\nOnce per lesson (cannot be duplicated)</t>
  </si>
  <si>
    <t>Gain +28% chance of a Dance SP Lesson</t>
  </si>
  <si>
    <t>At the end of a Dance SP lesson, gain +17 Dance</t>
  </si>
  <si>
    <t>When enhancing a skill card, gain +4 Dance</t>
  </si>
  <si>
    <t>Cute, Cute and Cute!</t>
  </si>
  <si>
    <t>When acquiring a Active (A) card, gain +2 Vocal</t>
  </si>
  <si>
    <t>Signature - Tea Party</t>
  </si>
  <si>
    <t>Cost: -3 (-1)\nGain 1 additional skill card use\nUpgraded : Draw a skill card\nEnhance all skill cards in hand\nOnce per lesson (cannot be duplicated)</t>
  </si>
  <si>
    <t>Gain +28% chance of a Vocal SP Lesson</t>
  </si>
  <si>
    <t>At the end of a Vocal SP lesson, gain +17 Vocal</t>
  </si>
  <si>
    <t>When acquiring a Active (A) card, gain +3 Vocal</t>
  </si>
  <si>
    <t>My eyes aren't deceiving me</t>
  </si>
  <si>
    <t>Signature - A chance to make up</t>
  </si>
  <si>
    <t>Visual lesson / Visual turn only\nAt the start of the turn, gain 1 additional skill card use\nOnce per lesson</t>
  </si>
  <si>
    <t>At the end of a Visual SP lesson, gain +7 Stamina</t>
  </si>
  <si>
    <t>At the end of a Class or Business, gain +7 Visual</t>
  </si>
  <si>
    <t>Youre Pushing Yourself, Again</t>
  </si>
  <si>
    <t>At the end of an outing gain +11 Vocal</t>
  </si>
  <si>
    <t>When acquiring a Mental (M) card, gain +2 Vocal</t>
  </si>
  <si>
    <t>Signature - Anti-fog towel</t>
  </si>
  <si>
    <t>Vocal lesson / Vocal turn only\nWhen using an Active (A) card, recover +2 Stamina\nThrice per lesson</t>
  </si>
  <si>
    <t>At the end of a Vocal SP lesson, gain +7 Stamina</t>
  </si>
  <si>
    <t>At the end of an outing gain +15 Vocal</t>
  </si>
  <si>
    <t>When acquiring a Mental (M) card, gain +3 Vocal</t>
  </si>
  <si>
    <t>My, What a Coincidence</t>
  </si>
  <si>
    <t>Signature - Scoot hat</t>
  </si>
  <si>
    <t>Vocal lesson / Vocal turn only\nAt the start of the turn, draw a skill card\nGain +2 Fixed Energy Thrice per lesson</t>
  </si>
  <si>
    <t>At the end of a Class or Business, gain +7 Vocal</t>
  </si>
  <si>
    <t>Seriously?</t>
  </si>
  <si>
    <t>At the end of a Dance SP lesson, increase the amount of P points gained by 33%</t>
  </si>
  <si>
    <t>Signature - Light on stage</t>
  </si>
  <si>
    <t>Cost: -3 (0)\nGain +1 Skill Card Cost Reduction\nGain 1 additional skill card use\nOnce per lesson (cannot be duplicated)</t>
  </si>
  <si>
    <t>At the end of a Dance SP lesson, increase the amount of P points gained by 45%</t>
  </si>
  <si>
    <t>At the end of a Dance Lesson, gain +6 Dance</t>
  </si>
  <si>
    <t>Here, lets hold it together</t>
  </si>
  <si>
    <t>When acquiring a Active (A) card, gain +2 Dance</t>
  </si>
  <si>
    <t>Signature - Big box full of dreams</t>
  </si>
  <si>
    <t>Dance lesson / Dance turn only\nAt the start of the turn, gain 1 additional skill card use\nOnce per lesson</t>
  </si>
  <si>
    <t>When acquiring a Active (A) card, gain +3 Dance</t>
  </si>
  <si>
    <t>What are you doing?</t>
  </si>
  <si>
    <t>Signature - Tenkawa Ramen Tour</t>
  </si>
  <si>
    <t>Vocal lesson / Vocal turn only\nAt the start of the turn, gain 1 additional skill card use\nOnce per lesson</t>
  </si>
  <si>
    <t>Hope It Doesnt Let Out Soon !</t>
  </si>
  <si>
    <t>When enhancing a Mental (M) skill card, gain +7 Vocal</t>
  </si>
  <si>
    <t>Signature - Puddle Skipping</t>
  </si>
  <si>
    <t>Cost: -1 (Red)\nGain +3 (+8) Energy\nGain 1 additional skill card use\nOnce per lesson (cannot be duplicated)</t>
  </si>
  <si>
    <t>When enhancing a Mental (M) skill card, gain +9 Vocal</t>
  </si>
  <si>
    <t>Clearing up</t>
  </si>
  <si>
    <t>At the end of an outing gain +11 Dance</t>
  </si>
  <si>
    <t>Signature - Rainbow cloth</t>
  </si>
  <si>
    <t>Dance lesson / Dance turn only\nWhen using an Active (A) card, recover +2 Stamina\nThrice per lesson</t>
  </si>
  <si>
    <t>When Rest is selected, gain +22 Dance</t>
  </si>
  <si>
    <t>At the end of an outing gain +15 Dance</t>
  </si>
  <si>
    <t>Its E instead of A</t>
  </si>
  <si>
    <t>Signature - Overnight Studying</t>
  </si>
  <si>
    <t>Cost: -1 (Red)\nGain +5 ( +6) Good Impressions\nUpgrade : Next turn, draw an additional skill card\nOnce per lesson (cannot be duplicated)</t>
  </si>
  <si>
    <t>Lets Enjoy Summer !</t>
  </si>
  <si>
    <t>Signature - Over Power Ball</t>
  </si>
  <si>
    <t>Vocal lesson / Vocal turn only\nAt the start of the turn, gain +4 Concentration\nCost 2 Stamina\nOnce per lesson</t>
  </si>
  <si>
    <t>After exchanging P drink in Consultation, gain +11 Vocal</t>
  </si>
  <si>
    <t>Id love to go over there too !</t>
  </si>
  <si>
    <t>Signature - Contentedly Satisfied</t>
  </si>
  <si>
    <t>When Dance is 200+, if you acquire a skill card with a Good Shape effect, receive a random P-Drink (SR or higher)\n4 times during produce</t>
  </si>
  <si>
    <t>Lets take our time</t>
  </si>
  <si>
    <t>After exchanging P drink in Consultation, gain +8 Visual</t>
  </si>
  <si>
    <t>Signature - Is that book interesting?</t>
  </si>
  <si>
    <r>
      <rPr>
        <sz val="12"/>
        <color theme="1"/>
        <rFont val="Aptos"/>
      </rPr>
      <t xml:space="preserve">Cost: -5 (-4) (Red)\nIf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Parameter increase by 120% (150%) of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\nand if </t>
    </r>
    <r>
      <rPr>
        <sz val="12"/>
        <color theme="1"/>
        <rFont val="Segoe UI Emoji"/>
      </rPr>
      <t>Motivation</t>
    </r>
    <r>
      <rPr>
        <sz val="12"/>
        <color theme="1"/>
        <rFont val="Aptos"/>
      </rPr>
      <t xml:space="preserve"> is 3+, Parameter increase by 50% (70%) of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Gain 1 additional skill card use\nOnce per lesson (cannot be duplicated)</t>
    </r>
  </si>
  <si>
    <r>
      <rPr>
        <sz val="12"/>
        <color theme="1"/>
        <rFont val="Aptos"/>
      </rPr>
      <t xml:space="preserve">Cost: -5 (-4) (Red)\nIf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Parameter increase by 120% (150%) of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\nand if </t>
    </r>
    <r>
      <rPr>
        <sz val="12"/>
        <color theme="1"/>
        <rFont val="Segoe UI Emoji"/>
      </rPr>
      <t>Motivation</t>
    </r>
    <r>
      <rPr>
        <sz val="12"/>
        <color theme="1"/>
        <rFont val="Aptos"/>
      </rPr>
      <t xml:space="preserve"> is 3+, Parameter increase by 50% (70%) of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Gain 1 additional skill card use\nOnce per lesson (cannot be duplicated)</t>
    </r>
  </si>
  <si>
    <r>
      <rPr>
        <sz val="12"/>
        <color theme="1"/>
        <rFont val="Aptos"/>
      </rPr>
      <t xml:space="preserve">Cost: -5 (-4) (Red)\nIf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Parameter increase by 120% (150%) of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\nand if </t>
    </r>
    <r>
      <rPr>
        <sz val="12"/>
        <color theme="1"/>
        <rFont val="Segoe UI Emoji"/>
      </rPr>
      <t>Motivation</t>
    </r>
    <r>
      <rPr>
        <sz val="12"/>
        <color theme="1"/>
        <rFont val="Aptos"/>
      </rPr>
      <t xml:space="preserve"> is 3+, Parameter increase by 50% (70%) of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Gain 1 additional skill card use\nOnce per lesson (cannot be duplicated)</t>
    </r>
  </si>
  <si>
    <r>
      <rPr>
        <sz val="12"/>
        <color theme="1"/>
        <rFont val="Aptos"/>
      </rPr>
      <t xml:space="preserve">Cost: -5 (-4) (Red)\nIf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Parameter increase by 120% (150%) of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\nand if </t>
    </r>
    <r>
      <rPr>
        <sz val="12"/>
        <color theme="1"/>
        <rFont val="Segoe UI Emoji"/>
      </rPr>
      <t>Motivation</t>
    </r>
    <r>
      <rPr>
        <sz val="12"/>
        <color theme="1"/>
        <rFont val="Aptos"/>
      </rPr>
      <t xml:space="preserve"> is 3+, Parameter increase by 50% (70%) of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Gain 1 additional skill card use\nOnce per lesson (cannot be duplicated)</t>
    </r>
  </si>
  <si>
    <t>After exchanging P drink in Consultation, gain +11 Visual</t>
  </si>
  <si>
    <r>
      <rPr>
        <sz val="12"/>
        <color theme="1"/>
        <rFont val="Aptos"/>
      </rPr>
      <t xml:space="preserve">Cost: -5 (-4) (Red)\nIf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Parameter increase by 120% (150%) of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\nand if </t>
    </r>
    <r>
      <rPr>
        <sz val="12"/>
        <color theme="1"/>
        <rFont val="Segoe UI Emoji"/>
      </rPr>
      <t>Motivation</t>
    </r>
    <r>
      <rPr>
        <sz val="12"/>
        <color theme="1"/>
        <rFont val="Aptos"/>
      </rPr>
      <t xml:space="preserve"> is 3+, Parameter increase by 50% (70%) of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Gain 1 additional skill card use\nOnce per lesson (cannot be duplicated)</t>
    </r>
  </si>
  <si>
    <t>Success in a new challenge !</t>
  </si>
  <si>
    <t>Signature - Record of a game</t>
  </si>
  <si>
    <t>At the end of a class or business, gain +15 Visual and recover +2 Stamina</t>
  </si>
  <si>
    <t>It wont take long with both of us</t>
  </si>
  <si>
    <t>Signature - Melting Time</t>
  </si>
  <si>
    <t>Vocal lesson / Vocal turn only\nAt the start of the turn, gain 50% Parameter Increase for 1 turn\nThrice per lesson</t>
  </si>
  <si>
    <t>President, were all set</t>
  </si>
  <si>
    <t>When enhancing a Mental (M) skill card, gain +7 Visual</t>
  </si>
  <si>
    <t>At the end of an outing gain +11 Visual</t>
  </si>
  <si>
    <t>Signature - The Presidents Perfect Plan</t>
  </si>
  <si>
    <t xml:space="preserve">When Visual is 200+, if you acquire a skill card with a Energy effect, receive a random P-Drink (SR or higher)\n4 times during produce	</t>
  </si>
  <si>
    <t>When enhancing a Mental (M) skill card, gain +9 Visual</t>
  </si>
  <si>
    <t>At the end of an outing gain +15 Visual</t>
  </si>
  <si>
    <t>Is it almost burnt?</t>
  </si>
  <si>
    <t>When Activity provision or Present is selected, gain +12 Dance</t>
  </si>
  <si>
    <t>Signature - Hot Baked Sweet Potato</t>
  </si>
  <si>
    <t>Cost: -4\nGain +4 (+7) Energy\nGain +4 (+5) Motivation\nIf is 30+, gain +3 (+4) Impression\nOnce per lesson (cannot be duplicated)</t>
  </si>
  <si>
    <t>When Activity provision or Present is selected, gain +17 Dance</t>
  </si>
  <si>
    <t>I'll definitely catch up !</t>
  </si>
  <si>
    <t>Signature - Autumn Leaves Running</t>
  </si>
  <si>
    <t>Cost: -1 (0)\nGain +1 Status Immunity\nDraw 1 (2) skill cards\nGain 1 additional skill card use\nOnce per lesson (cannot be duplicated)</t>
  </si>
  <si>
    <t>Wait for me !</t>
  </si>
  <si>
    <t>Signature - Declaration of defeat</t>
  </si>
  <si>
    <t>Dance lesson / Dance turn only\nAt the start of the turn, if  Full Power is active, gain +13 Parameter\nTwice per lesson</t>
  </si>
  <si>
    <t>Stop ! It's cold !</t>
  </si>
  <si>
    <t>Signature - Medal of the Undefeated</t>
  </si>
  <si>
    <t>Dance lesson / Dance turn only\nAt the start of the turn, increase Parameter by 50% of Motivation</t>
  </si>
  <si>
    <t>A Temporary Truce</t>
  </si>
  <si>
    <t>When Activity provision or Present is selected, gain +12 Vocal</t>
  </si>
  <si>
    <t>Signature - Splashing Water</t>
  </si>
  <si>
    <t>Cost: -6 (Red)\nParameter : +33 (+45)\nIf Good Shape is 4+, recover +4 (+6) Stamina after 2 turns\nOnce per lesson (cannot be duplicated)</t>
  </si>
  <si>
    <t>When Activity provision or Present is selected, gain +17 Vocal</t>
  </si>
  <si>
    <t>Why dont we do some fireworks?</t>
  </si>
  <si>
    <t>Signature - Mixed Feelings</t>
  </si>
  <si>
    <t>Cost: -5\nParameter: +7 (+13) and add x1.5 of Concentration\nGain +4 (+5) Concentration\nOnce per lesson (cannot be duplicated)</t>
  </si>
  <si>
    <t>Lets enjoy summer to the fullest !</t>
  </si>
  <si>
    <t>When enhancing a Mental (M) skill card, gain +7 Dance</t>
  </si>
  <si>
    <t>Signature - 873 Shooters</t>
  </si>
  <si>
    <r>
      <rPr>
        <sz val="12"/>
        <color theme="1"/>
        <rFont val="Aptos"/>
      </rPr>
      <t xml:space="preserve">Dance lesson / Dance turn only\nAt the start of the turn, gain +2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and +1 Stamina\nTwice per lesson</t>
    </r>
  </si>
  <si>
    <r>
      <rPr>
        <sz val="12"/>
        <color theme="1"/>
        <rFont val="Aptos"/>
      </rPr>
      <t xml:space="preserve">Dance lesson / Dance turn only\nAt the start of the turn, gain +2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and +1 Stamina\nTwice per lesson</t>
    </r>
  </si>
  <si>
    <t>When enhancing a Mental (M) skill card, gain +9 Dance</t>
  </si>
  <si>
    <r>
      <rPr>
        <sz val="12"/>
        <color theme="1"/>
        <rFont val="Aptos"/>
      </rPr>
      <t xml:space="preserve">Dance lesson / Dance turn only\nAt the start of the turn, gain +2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and +1 Stamina\nTwice per lesson</t>
    </r>
  </si>
  <si>
    <r>
      <rPr>
        <sz val="12"/>
        <color theme="1"/>
        <rFont val="Aptos"/>
      </rPr>
      <t xml:space="preserve">Dance lesson / Dance turn only\nAt the start of the turn, gain +2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and +1 Stamina\nTwice per lesson</t>
    </r>
  </si>
  <si>
    <t>At the end of a Class or Business, gain +7 Dance</t>
  </si>
  <si>
    <r>
      <rPr>
        <sz val="12"/>
        <color theme="1"/>
        <rFont val="Aptos"/>
      </rPr>
      <t xml:space="preserve">Dance lesson / Dance turn only\nAt the start of the turn, gain +2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and +1 Stamina\nTwice per lesson</t>
    </r>
  </si>
  <si>
    <t>Wouldnt that look good on you?</t>
  </si>
  <si>
    <t>Signature - Twist Balloon</t>
  </si>
  <si>
    <r>
      <rPr>
        <sz val="12"/>
        <color theme="1"/>
        <rFont val="Aptos"/>
      </rPr>
      <t xml:space="preserve">Dance lesson / Dance turn only\nAt the start of the turn, 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gain +3 </t>
    </r>
    <r>
      <rPr>
        <sz val="12"/>
        <color theme="1"/>
        <rFont val="Segoe UI Emoji"/>
      </rPr>
      <t>Motivation\n</t>
    </r>
    <r>
      <rPr>
        <sz val="12"/>
        <color theme="1"/>
        <rFont val="Aptos"/>
      </rPr>
      <t>Twice per lesson</t>
    </r>
  </si>
  <si>
    <r>
      <rPr>
        <sz val="12"/>
        <color theme="1"/>
        <rFont val="Aptos"/>
      </rPr>
      <t xml:space="preserve">Dance lesson / Dance turn only\nAt the start of the turn, 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gain +3 </t>
    </r>
    <r>
      <rPr>
        <sz val="12"/>
        <color theme="1"/>
        <rFont val="Segoe UI Emoji"/>
      </rPr>
      <t>Motivation\n</t>
    </r>
    <r>
      <rPr>
        <sz val="12"/>
        <color theme="1"/>
        <rFont val="Aptos"/>
      </rPr>
      <t>Twice per lesson</t>
    </r>
  </si>
  <si>
    <r>
      <rPr>
        <sz val="12"/>
        <color theme="1"/>
        <rFont val="Aptos"/>
      </rPr>
      <t xml:space="preserve">Dance lesson / Dance turn only\nAt the start of the turn, 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gain +3 </t>
    </r>
    <r>
      <rPr>
        <sz val="12"/>
        <color theme="1"/>
        <rFont val="Segoe UI Emoji"/>
      </rPr>
      <t>Motivation\n</t>
    </r>
    <r>
      <rPr>
        <sz val="12"/>
        <color theme="1"/>
        <rFont val="Aptos"/>
      </rPr>
      <t>Twice per lesson</t>
    </r>
  </si>
  <si>
    <r>
      <rPr>
        <sz val="12"/>
        <color theme="1"/>
        <rFont val="Aptos"/>
      </rPr>
      <t xml:space="preserve">Dance lesson / Dance turn only\nAt the start of the turn, 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gain +3 </t>
    </r>
    <r>
      <rPr>
        <sz val="12"/>
        <color theme="1"/>
        <rFont val="Segoe UI Emoji"/>
      </rPr>
      <t>Motivation\n</t>
    </r>
    <r>
      <rPr>
        <sz val="12"/>
        <color theme="1"/>
        <rFont val="Aptos"/>
      </rPr>
      <t>Twice per lesson</t>
    </r>
  </si>
  <si>
    <r>
      <rPr>
        <sz val="12"/>
        <color theme="1"/>
        <rFont val="Aptos"/>
      </rPr>
      <t xml:space="preserve">Dance lesson / Dance turn only\nAt the start of the turn, if </t>
    </r>
    <r>
      <rPr>
        <sz val="12"/>
        <color theme="1"/>
        <rFont val="Segoe UI Emoji"/>
      </rPr>
      <t xml:space="preserve">Impression </t>
    </r>
    <r>
      <rPr>
        <sz val="12"/>
        <color theme="1"/>
        <rFont val="Aptos"/>
      </rPr>
      <t xml:space="preserve">is 3+, gain +3 </t>
    </r>
    <r>
      <rPr>
        <sz val="12"/>
        <color theme="1"/>
        <rFont val="Segoe UI Emoji"/>
      </rPr>
      <t>Motivation\n</t>
    </r>
    <r>
      <rPr>
        <sz val="12"/>
        <color theme="1"/>
        <rFont val="Aptos"/>
      </rPr>
      <t>Twice per lesson</t>
    </r>
  </si>
  <si>
    <t>Its completly autumn now !</t>
  </si>
  <si>
    <t>When acquiring a skill card with a Good Shape effect, gain +3 Vocal</t>
  </si>
  <si>
    <t>Signature - Glossy and Frizzy</t>
  </si>
  <si>
    <t>If Vocal is 700+ when selecting Shop or Gift, select 2 skill cards to enhance\nOnce per produce</t>
  </si>
  <si>
    <t>When acquiring a skill card with a Good Shape effect, gain +4 Vocal</t>
  </si>
  <si>
    <t>Sparkling and beautiful !</t>
  </si>
  <si>
    <t>Signature - Night of Lights</t>
  </si>
  <si>
    <t>Cost: -0\nGain +2 (+3) Perfect Shape\nGain +2 (+4)  Stamina\nOnce per lesson (cannot be duplicated)</t>
  </si>
  <si>
    <t>Its so warm</t>
  </si>
  <si>
    <t>Signature - Double the warmth</t>
  </si>
  <si>
    <r>
      <rPr>
        <sz val="12"/>
        <color theme="1"/>
        <rFont val="Aptos"/>
      </rPr>
      <t xml:space="preserve">Visual lesson / Visual turn only\nIf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is 5+ when using a skill card, gain +2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Twice per lesson</t>
    </r>
  </si>
  <si>
    <r>
      <rPr>
        <sz val="12"/>
        <color theme="1"/>
        <rFont val="Aptos"/>
      </rPr>
      <t xml:space="preserve">Visual lesson / Visual turn only\nIf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is 5+ when using a skill card, gain +2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Twice per lesson</t>
    </r>
  </si>
  <si>
    <r>
      <rPr>
        <sz val="12"/>
        <color theme="1"/>
        <rFont val="Aptos"/>
      </rPr>
      <t xml:space="preserve">Visual lesson / Visual turn only\nIf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is 5+ when using a skill card, gain +2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Twice per lesson</t>
    </r>
  </si>
  <si>
    <r>
      <rPr>
        <sz val="12"/>
        <color theme="1"/>
        <rFont val="Aptos"/>
      </rPr>
      <t xml:space="preserve">Visual lesson / Visual turn only\nIf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is 5+ when using a skill card, gain +2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Twice per lesson</t>
    </r>
  </si>
  <si>
    <t>2nd Classroom Party !</t>
  </si>
  <si>
    <t>Gain +14% chance of a Visual SP Lesson</t>
  </si>
  <si>
    <t>Signature - Fading wall</t>
  </si>
  <si>
    <t>Cost: -5 (-2)\nGain +3 Energy\nFor the next two turns, all cards in your hand will be enhanced\nOnce per lesson (cannot be duplicated)</t>
  </si>
  <si>
    <t>No one is being left out</t>
  </si>
  <si>
    <t>Gain +14% chance of a Vocal SP Lesson</t>
  </si>
  <si>
    <t>At the end of a Vocal SP lesson, gain +4 Stamina</t>
  </si>
  <si>
    <t>Signature - Textbook for everyone</t>
  </si>
  <si>
    <t>Vocal lesson / Vocal turn only\nIf Stamina is below 50%, recover +4 Stamina\nOnce per lesson</t>
  </si>
  <si>
    <t>Producing is hard work</t>
  </si>
  <si>
    <t>Gain +14% chance of a Dance SP Lesson</t>
  </si>
  <si>
    <t>When Activity provision or Present is selected, gain +3 Stamina</t>
  </si>
  <si>
    <t>Signature - Idol Power Measurement Device</t>
  </si>
  <si>
    <t>Dance lesson / Dance turn only\nAt the start of the turn, if Preservation is active, recover +5 Stamina\nOnce per lesson</t>
  </si>
  <si>
    <t>When Activity provision or Present is selected, gain +4 Stamina</t>
  </si>
  <si>
    <t>These girls are a pain</t>
  </si>
  <si>
    <t>At the end of a Vocal SP lesson, increase the amount of P points gained by 22%</t>
  </si>
  <si>
    <t>At the end of a Vocal SP lesson, gain +9 Vocal</t>
  </si>
  <si>
    <t>When enhancing a Mental (M) skill card, gain +5 Vocal</t>
  </si>
  <si>
    <t xml:space="preserve">Signature - The more they fight, the better they get along	</t>
  </si>
  <si>
    <t>Cost: -6\nGain +3 (+4) Concentration\nGain +2 (+4) Good Shape\nThe turn after this card is used, enhance all skills cards\nOnce per lesson (cannot be duplicated)</t>
  </si>
  <si>
    <t>At the end of a Vocal SP lesson, increase the amount of P points gained by 33%</t>
  </si>
  <si>
    <t>Were doing what we can</t>
  </si>
  <si>
    <t>At the end of a Dance SP lesson, increase the amount of P points gained by 22%</t>
  </si>
  <si>
    <t>At the end of a Dance SP lesson, gain +9 Dance</t>
  </si>
  <si>
    <t>When enhancing a Mental (M) skill card, gain +5 Dance</t>
  </si>
  <si>
    <t>Signature - Awful cooking</t>
  </si>
  <si>
    <t>Cost: -7 (-6)\nGain +4 (+5) Impression\nGain +3 (+4) Motivation\nThe turn after this card is used, enhance all skills cards\nOnce per lesson (cannot be duplicated)</t>
  </si>
  <si>
    <t>Early Summer Rain</t>
  </si>
  <si>
    <t>At the end of a Visual SP lesson, increase the amount of P points gained by 22%</t>
  </si>
  <si>
    <t>At the end of a Visual SP lesson, gain +9 Visual</t>
  </si>
  <si>
    <t>When enhancing a Mental (M) skill card, gain +5 Visual</t>
  </si>
  <si>
    <t>Signature - Bus Stop in the Rain</t>
  </si>
  <si>
    <t>Cost: -5\nSwap to Preservation (stage 2)\nGain +3 (+4) Full Power\nNext turn, all the card in hand are enhanced\nOnce per lesson (cannot be duplicated)</t>
  </si>
  <si>
    <t>Go into it as if it were a job</t>
  </si>
  <si>
    <t>When acquiring a Mental (M) skill card, gain +1 Visual</t>
  </si>
  <si>
    <t>Signature - The new student council is born</t>
  </si>
  <si>
    <t>Trouble Remove</t>
  </si>
  <si>
    <t>Cost: -5 (-4)\nStarts in your hand on the first turn of the lesson/exam\nGain +2 (+4) turns of Damage Reduction\nGain 1 additional skill card use\nOnce per lesson (cannot be duplicated</t>
  </si>
  <si>
    <t>When acquiring a Mental (M) skill card, gain +2 Visual</t>
  </si>
  <si>
    <t>Its the Autumn of Gourmet</t>
  </si>
  <si>
    <t>Maximum Stamina increased by +9</t>
  </si>
  <si>
    <t>At the end of a lesson, gain +16.5% P points</t>
  </si>
  <si>
    <t>Signature - What a great meal</t>
  </si>
  <si>
    <t>Gain +10 Stamina</t>
  </si>
  <si>
    <t>Select Remove</t>
  </si>
  <si>
    <t>When Shop is selected, gain a 20% discount on all items</t>
  </si>
  <si>
    <t>Gain +12 Stamina</t>
  </si>
  <si>
    <t>Gain +14% chance of Vocal, Dance and Visual SP lessons</t>
  </si>
  <si>
    <t>At the end of a lesson, gain +22% P points</t>
  </si>
  <si>
    <t>Gain +14 Stamina</t>
  </si>
  <si>
    <t>Proud of my student</t>
  </si>
  <si>
    <t>Maximum Stamina increased by +6</t>
  </si>
  <si>
    <t>At the end of a SP lesson, gain +3 Stamina</t>
  </si>
  <si>
    <t>Signature - Proof of trust</t>
  </si>
  <si>
    <t>Select Enhance</t>
  </si>
  <si>
    <t>At the end of an Date recover +9 Stamina</t>
  </si>
  <si>
    <t>Maximum Stamina increased by +7</t>
  </si>
  <si>
    <t>Maximum Stamina increased by +8</t>
  </si>
  <si>
    <t>At the end of a SP lesson, gain +4 Stamina</t>
  </si>
  <si>
    <t>Once more, from the start!</t>
  </si>
  <si>
    <t>Signature - Practice resumes!</t>
  </si>
  <si>
    <t>Cost: -3\nGain +1 (+3) Good Shape\nReplace all skill cards in hands\nGain 1 additional skill card use\nOnce per lesson (cannot be duplicated)</t>
  </si>
  <si>
    <t>This is us, for 3 years</t>
  </si>
  <si>
    <t>Signature - Amazing Baton</t>
  </si>
  <si>
    <t>At the end of a class or business, gain +20 P Points and +2 Stamina</t>
  </si>
  <si>
    <t>Alright everyone, together now</t>
  </si>
  <si>
    <t>Signature - A whole lot!</t>
  </si>
  <si>
    <t>When Vocal is 400+, if you acquire a skill card with a Preservation effect, select and enhance a skill card</t>
  </si>
  <si>
    <t>Valentine Meeting in Progress!</t>
  </si>
  <si>
    <t>When enhancing an Active (A) skill card, gain +7 Visual</t>
  </si>
  <si>
    <t>Signature - Operation Valentine!</t>
  </si>
  <si>
    <t>Cost: -3 (-2) (Red)\nGain +4 (+8) Shield\nSwap to Preservation\nAt the start of the next two turns, swap to Preservation\nOnce per lesson (cannot be duplicated)</t>
  </si>
  <si>
    <t>When a skill card is deleted, gain +11 Visual</t>
  </si>
  <si>
    <t>When enhancing an Active (A) skill card, gain +9 Visual</t>
  </si>
  <si>
    <t>I will definitely give you one!</t>
  </si>
  <si>
    <t>Signature - Big Love Onee-sama</t>
  </si>
  <si>
    <t>Vocal lesson / Vocal turn only\nWhen using an Active (A) card, gain Score increased by 50% for 1 turn and gain +2 Energy (Motivation is applied 1.3 times)\nOnce per lesson</t>
  </si>
  <si>
    <t>I love you girls</t>
  </si>
  <si>
    <t>Signature - A friendship record</t>
  </si>
  <si>
    <t>When Dance is 700+, if you acquire a skill card with a Good Impression effect, select and enhance a skill card\nTwice per produce</t>
  </si>
  <si>
    <t>It's the start of a new life</t>
  </si>
  <si>
    <t>When acquiring a skill card with a Preservation effect, gain +3 Visual</t>
  </si>
  <si>
    <t>Signature - The Seriousness of Strength</t>
  </si>
  <si>
    <t>At the end of an outing, if Visual is 400+, gain +15 Visual and choose a card to replace with a different skill card</t>
  </si>
  <si>
    <t>When acquiring a skill card with a Preservation effect, gain +4 Visual</t>
  </si>
  <si>
    <t>Can you stand on your own?</t>
  </si>
  <si>
    <t>Signature - My Own Shoes</t>
  </si>
  <si>
    <t>Dance lesson / Dance turn only\nAt the start of the turn, if Stamina is below 50%, recover 15% of your maximum Stamina\nTwice per lesson</t>
  </si>
  <si>
    <t>This is where it all begins!</t>
  </si>
  <si>
    <t>Signature - The starting line to a dream</t>
  </si>
  <si>
    <t>Dance lesson / Dance turn only\nAt the start of the turn, if Good Shape is 3+, gain +3 Good Shape\nCost: 1 Stamina (Red)\nTwice per lesson</t>
  </si>
  <si>
    <t>When a skill card is deleted, gain +11 Dance</t>
  </si>
  <si>
    <t>There is no shortage of opponents!</t>
  </si>
  <si>
    <t>When a Mental (M) skill card is deleted, gain +17 Visual (only thrice per produce)</t>
  </si>
  <si>
    <t>Signature - Please play against me!</t>
  </si>
  <si>
    <t>Cost: -2 (0)\nSelect 1 skill card from the deck or discard pile and move it to the reserve\nDraw 1 skill card\nGain 1 additional skill card use\nOnce per lesson (cannot be duplicated)</t>
  </si>
  <si>
    <t>When a Mental (M) skill card is deleted, gain +22 Visual (only thrice per produce)</t>
  </si>
  <si>
    <t>Now, one more game!</t>
  </si>
  <si>
    <t>When acquiring a Mental (M) card, gain +1 Vocal</t>
  </si>
  <si>
    <t>Signature - The game is just beginning!</t>
  </si>
  <si>
    <t>Cost: -4 (-3)\nParameter: +2 (+5)\nGain +2 (+5) Shield\nGain +3 turns of Damage Reduction\nNext turn, draw 1 more skill card\nOnce per lesson (cannot be duplicated)</t>
  </si>
  <si>
    <t>Still as clumsy as ever</t>
  </si>
  <si>
    <t>When acquiring a skill card with a Impression effect, gain +3 Vocal</t>
  </si>
  <si>
    <t>Signature - The Determination of a Childhood Friend</t>
  </si>
  <si>
    <t>If Vocal is 200+ at the start of a Special Guidance, gain +100 P points</t>
  </si>
  <si>
    <t>When acquiring a skill card with a Impression effect, gain +4 Vocal</t>
  </si>
  <si>
    <t>Friends make use of one another!</t>
  </si>
  <si>
    <t>When replacing a skill card, gain +16 Dance (thrice per produce)</t>
  </si>
  <si>
    <t>At the end of a class or business, gain +5 Dance</t>
  </si>
  <si>
    <t>Signature - What gives us power</t>
  </si>
  <si>
    <t>At the end of class or business, if Dance is 400+, gain +10 Dance and select a card to replace with a different skill card\nTwice per produce</t>
  </si>
  <si>
    <t>When replacing a skill card, gain +21 Dance (thrice per produce)</t>
  </si>
  <si>
    <t>At the end of a class or business, gain +7 Dance</t>
  </si>
  <si>
    <t>Me and Misuzu are best friends</t>
  </si>
  <si>
    <t>At the end of a Visual SP lesson, gain +4 Stamina</t>
  </si>
  <si>
    <t>When acquiring a Active (A) card, gain +1 Visual</t>
  </si>
  <si>
    <t>Signature - More important than victory</t>
  </si>
  <si>
    <t>Visual lesson / Visual turn only\nAt the start of a turn, if Stamina is below 50%, gain +10 Fixed Energy\nOnce per lesson</t>
  </si>
  <si>
    <t>I'm talking to myself</t>
  </si>
  <si>
    <t>When replacing a skill card, gain +16 Visual (thrice per produce)</t>
  </si>
  <si>
    <t>When a Active (A) skill card is deleted, gain +17 Visual (only thrice per produce)</t>
  </si>
  <si>
    <t>Signature - Memories of Katekoime</t>
  </si>
  <si>
    <t>At the end of class or business, if Visual is 700+, select a card and delete it\Obtain 1 Happy skill card\nTwice per produce</t>
  </si>
  <si>
    <t>When replacing a skill card, gain +21 Visual (thrice per produce)</t>
  </si>
  <si>
    <t>When a Active (A) skill card is deleted, gain +22 Visual (only thrice per produce)</t>
  </si>
  <si>
    <t>Well done, Kuramoto.</t>
  </si>
  <si>
    <t>When acquiring a P Drink, gain +4 Dance</t>
  </si>
  <si>
    <t>Signature - After School Lessons in the Student Council Room</t>
  </si>
  <si>
    <t>Dance lesson / Dance turn only\nAt the start of the turn, if Strength has been active 3+ times, gain +10 Enthusiasm Addition\nOnce per lesson</t>
  </si>
  <si>
    <t>When acquiring a P Drink, gain +5 Dance</t>
  </si>
  <si>
    <t>Let me know what you all think</t>
  </si>
  <si>
    <t>At the end of a class or business, gain +4 Vocal</t>
  </si>
  <si>
    <t>When enhancing an Active (A) skill card, gain +5 Vocal</t>
  </si>
  <si>
    <t>Signature - Perfect for Mao</t>
  </si>
  <si>
    <t>At the start of the lesson, create an enhanced Pride card in your hand\nOnce per lesson</t>
  </si>
  <si>
    <t>When enhancing an Active (A) skill card, gain +7 Vocal</t>
  </si>
  <si>
    <t>At the end of a class or business, gain +5 Vocal</t>
  </si>
  <si>
    <t>Lost Child Announcement</t>
  </si>
  <si>
    <t>When acquiring a Mental (M) card, gain +1 Visual</t>
  </si>
  <si>
    <t>Signature - Lost Child Call</t>
  </si>
  <si>
    <t>At the start of the lesson, create an enhanced Night Before the Show (Honban) card in your hand\nOnce per lesson</t>
  </si>
  <si>
    <t>It feels like we're all good friends now</t>
  </si>
  <si>
    <t>At the end of a Dance SP Lesson gain +9 Dance</t>
  </si>
  <si>
    <t>Signature - Victory in your hands</t>
  </si>
  <si>
    <t>At the start of the lesson, generate an enhanced Quiet Will card in your hand\nOnce per lesson</t>
  </si>
  <si>
    <t>At the end of a Dance SP Lesson gain +13 Dance</t>
  </si>
  <si>
    <t>An exciting moment in your idol life!</t>
  </si>
  <si>
    <t>When acquiring a skill card with a Good Impression effect, gain +3 Visual</t>
  </si>
  <si>
    <t>When Activity provision or Present is selected, gain +12 Visual</t>
  </si>
  <si>
    <t>Signature - Owl Companion</t>
  </si>
  <si>
    <t>If Visual is 700+ when selecting Activity provision or Present, enhance a random skill card\nRecover +4 Stamina\nTwice per produce</t>
  </si>
  <si>
    <t>When acquiring a skill card with a Good Impression effect, gain +4 Visual</t>
  </si>
  <si>
    <t>When customizing a skill card, gain +11 Visual (6 times per produce)</t>
  </si>
  <si>
    <t>When Activity provision or Present is selected, gain +17 Visual</t>
  </si>
  <si>
    <t xml:space="preserve">You always do your best. </t>
  </si>
  <si>
    <t>When acquiring a P Drink, gain +4 Visual</t>
  </si>
  <si>
    <t>Signature - Wrapped by Kindness</t>
  </si>
  <si>
    <t>Dance lesson / Dance turn only\nAt the start of the turn, if Good Shape is 10+, gain +4 Perfect Shape and +10 Energy\nOnce per lesson</t>
  </si>
  <si>
    <t>When acquiring a P Drink, gain +5 Visual</t>
  </si>
  <si>
    <t>What kind of relationship is it?</t>
  </si>
  <si>
    <t>When acquiring a skill card with a Energy effect, gain +3 Vocal</t>
  </si>
  <si>
    <t>Signature - Handmade subscription bento</t>
  </si>
  <si>
    <t>Vocal lesson / Vocal turn only\nAt the start of the turn, if Energy is 30+, gain +4 Good Impression, +4 Motivation, +2 Energy\nOnce per lesson</t>
  </si>
  <si>
    <t>When acquiring a skill card with a Energy effect, gain +4 Vocal</t>
  </si>
  <si>
    <t>Are you my mom!?</t>
  </si>
  <si>
    <t>At the end of a Dance SP lesson, gain +4 Stamina</t>
  </si>
  <si>
    <t>Signature - No Likes and Dislikes allowed</t>
  </si>
  <si>
    <t>Dance lesson / Dance turn only\nAt the start of the turn, if Stamina is less than 50%, gain +10 Fixed Energy\nOnce per lesson</t>
  </si>
  <si>
    <t>A child you can't leave alone</t>
  </si>
  <si>
    <t>Signature - Funny and worrisome child</t>
  </si>
  <si>
    <t>When Vocal is 700+, if you acquire a skill card with a  Preservation effect, gain +50 P Points and recover 5 Stamina\nTwice per produce</t>
  </si>
  <si>
    <t>When a skill card is deleted, gain +11 Vocal</t>
  </si>
  <si>
    <t>Let's liven things up!</t>
  </si>
  <si>
    <t>At the end of a class or business, gain +4 Dance</t>
  </si>
  <si>
    <t>Signature - Noisy Tambourine</t>
  </si>
  <si>
    <t>At the end of a Dance lesson, if dance is 400+, recover +6 Stamina\nThrice per produce</t>
  </si>
  <si>
    <t>I wish it could last forever</t>
  </si>
  <si>
    <t>When you acquire a skill card (SSR), gain +5 Dance</t>
  </si>
  <si>
    <t>Signature - Memories Blooming on a Summer Night</t>
  </si>
  <si>
    <t>Cost: -7 (-4)\nMove 1 random Drowsiness card from the deck or discard pile to the removed pile. Gain 1 additional skill card use\nFrom now on, whenever you've used 5 skill cards, gain +4 Parameter\nOnce per lesson (cannot be duplicated)</t>
  </si>
  <si>
    <t>When you acquire a skill card (SSR), gain +6 Dance</t>
  </si>
  <si>
    <t>Let's make up</t>
  </si>
  <si>
    <t>When a skill card is deleted, gain +6 Vocal</t>
  </si>
  <si>
    <t>Signature - Bathed in Moonlight</t>
  </si>
  <si>
    <t>Cost: -5 (-2)\nStarts in your hand on the first turn of the lesson/test\nGain +1 Skill Card Cost Reduction\nGain 1 additional skill card use\nOnce per lesson (cannot be duplicated)</t>
  </si>
  <si>
    <t>Hey, here I come!</t>
  </si>
  <si>
    <t>Signature - Peak Time Flag</t>
  </si>
  <si>
    <t>When Dance is 700+, if you acquire a skill card with a Concentration effect, gain +20 Dance and recover 5 Stamina\nThrice per produce</t>
  </si>
  <si>
    <t>Whoa, watch out</t>
  </si>
  <si>
    <t>Signature - Physical fitness material?</t>
  </si>
  <si>
    <t>When acquiring a skill card with a Motivation effect, if Vocal is 400+, gain +30 Vocal\nRecover +5 Stamina\nTwice per produce</t>
  </si>
  <si>
    <t>At the end of a class or business, gain +7 Vocal</t>
  </si>
  <si>
    <t>v Gyaru Peaaaaace v</t>
  </si>
  <si>
    <t>Signature - Unforgettable memories</t>
  </si>
  <si>
    <t>Vocal lesson / Vocal turn only\nAt the start of the turn, if the stances have been swapped 4+ times, gain Parameter increased by 25% for 1 turn and +8 Energy\nTwice per lesson</t>
  </si>
  <si>
    <t>I know a thing or two about it!</t>
  </si>
  <si>
    <t>At the end of a SP lesson, if you have 20+ skill cards, gain +15 Visual (4 times per produce)</t>
  </si>
  <si>
    <t>Signature - Monthly Anime Talk</t>
  </si>
  <si>
    <t>Visual lesson / Visual turn only\nAt the start of the turn, gain +3 Impression\nMove a random SSR card from the deck or discard pile to your hand\nOnce per lesson</t>
  </si>
  <si>
    <t>At the end of a SP lesson, if you have 20+ skill cards, gain +21 Visual (4 times per produce)</t>
  </si>
  <si>
    <t>The big Sport Festival is here!</t>
  </si>
  <si>
    <t>At the end of a SP lesson, recover +3 Stamina</t>
  </si>
  <si>
    <t>Signature - Seize Victory!</t>
  </si>
  <si>
    <t>Cost: -4 (-1)\nThe next skill card will cost 0 Stamina (1 time)\nDraw a skill card\nGain 1 additional skill card use\nOnce per lesson (cannot be duplicated)</t>
  </si>
  <si>
    <t>At the end of a SP lesson, recover +4 Stamina</t>
  </si>
  <si>
    <t>At the end of a SP lesson, if you have 20+ skill cards, gain +21 Vocal (4 times per produce)</t>
  </si>
  <si>
    <t>This is... a castle!!!!!</t>
  </si>
  <si>
    <t>Signature - Thank-you tea set</t>
  </si>
  <si>
    <t>If Visual is 400+ at the start of a Special Guidance, gain +30 Vocal, +20 P points and recover +10 Stamina\nOnce per produce</t>
  </si>
  <si>
    <t>When customizing a skill card, gain +11 Vocal (6 times per produce)</t>
  </si>
  <si>
    <t>Temari Tsukimura, how intriguing</t>
  </si>
  <si>
    <t>Signature - Target, lock on</t>
  </si>
  <si>
    <t>Cost: -4 (-2)\nGain +6 Energy and +100% Good Impression Boost for 3 turns\nIf Good Impression is 10+; draw 1 more skill card for the next 3 turns\nOnce per lesson (cannot be duplicated)</t>
  </si>
  <si>
    <t>Cooling down is important!</t>
  </si>
  <si>
    <t>When you acquire a skill card (SSR), gain +5 Visual</t>
  </si>
  <si>
    <t>At the end of a class or business, gain +5 Visual</t>
  </si>
  <si>
    <t>Signature - A moment of relaxation</t>
  </si>
  <si>
    <t>Cost: -1 Good Shape\nCan be used after the 3rd turn\nIncrease the Concentration gains by 50% for 3 turns\nIf Good Shape is active, gain +4 (+6) Concentration\nOnce per lesson (cannot be duplicated)</t>
  </si>
  <si>
    <t>When you acquire a skill card (SSR), gain +6 Visual</t>
  </si>
  <si>
    <t>At the end of a class or business, gain +7 Visual</t>
  </si>
  <si>
    <t>Ready, set, go!</t>
  </si>
  <si>
    <t>Signature - Secret Technique: Parry!</t>
  </si>
  <si>
    <t>Cost: 0\nParameter : +4 (+8)\nIf Concentration is 15+, next turn, gain +4 (+8) Parameter (Good Condition effect applied x2)\nIf Good Condition is 12+, in two turns, gain +4 (+8) Parameter (Concentration effect applied x2)\nOnce per lesson (cannot be duplicated)</t>
  </si>
  <si>
    <t>When acquiring a P Item, gain +15 Vocal (6 times per produce)</t>
  </si>
  <si>
    <t>When enhancing an Active (A) skill card, gain +9 Vocal</t>
  </si>
  <si>
    <t>I'm definitely getting it!</t>
  </si>
  <si>
    <t>Signature - Tenacious Catcher</t>
  </si>
  <si>
    <t>Cost: -1 (Red)\nGain +5 (+10) Fixed Energy\nIf Stamina is above 50%, gain 1 additional skill card use\nOnce per lesson (cannot be duplicated)</t>
  </si>
  <si>
    <t>I finally found you!</t>
  </si>
  <si>
    <t>Signature - Comfortable Bedding</t>
  </si>
  <si>
    <t>Dance lesson / Dance turn only\nAfter directly increasing Motivation, increase the Impression and Motivation gains by 50% for 2 turns\nOnce per lesson</t>
  </si>
  <si>
    <t>Give it to me, I'll show you how it's done!</t>
  </si>
  <si>
    <t>When acquiring a P Item, gain +8 Visual (6 times per produce)</t>
  </si>
  <si>
    <t>At the end of an exam or an audition, gain +4 Stamina</t>
  </si>
  <si>
    <t>Signature - Super Cute Print</t>
  </si>
  <si>
    <t>At the start of the turn, if you've just used an Active (A) card, move 1 Signature card from your deck/discard pile to your hand\nSelect 1 random card in your hand and enhance it for the rest of the lesson\nOnce per lesson</t>
  </si>
  <si>
    <t>At the end of an exam or an audition, gain +6 Stamina</t>
  </si>
  <si>
    <t>Merry Christmas, Big Sis</t>
  </si>
  <si>
    <t>Signature - Naughty Santa</t>
  </si>
  <si>
    <t>Cost: -6 (-3)\nSwap to stage 2 of Preservation\nIncrease the Enthusiasm gains by 50% for 3 turns\nGain 1 additional skill card use\nOnce per lesson</t>
  </si>
  <si>
    <t>Ume's sled race, full speed ahead!</t>
  </si>
  <si>
    <t>Gain +37 Visual at the start of the produce</t>
  </si>
  <si>
    <t>Gain +40 Visual at the start of the produce</t>
  </si>
  <si>
    <t>Gain +43 Visual at the start of the produce</t>
  </si>
  <si>
    <t>Gain +46 Visual at the start of the produce</t>
  </si>
  <si>
    <t>Gain +49 Visual at the start of the produce</t>
  </si>
  <si>
    <t>At the end of a SP lesson, if you have 20+ skill cards, gain +8 Visual (4 times per produce)</t>
  </si>
  <si>
    <t>When acquiring a skill card with a Preservation effect, gain +2 Visual</t>
  </si>
  <si>
    <t>Signature - Red soaring down the slopes</t>
  </si>
  <si>
    <t>When Visual is 400+, if you acquire a skill card with a Full Power effect, gain +15 Visual and select a skill card to copy\nOnce per produce</t>
  </si>
  <si>
    <t>Gain +40 Vocal at the start of the produce</t>
  </si>
  <si>
    <t>Gain +40 Dance at the start of the produce</t>
  </si>
  <si>
    <t>Gain +37 Vocal at the start of the produce</t>
  </si>
  <si>
    <t>Gain +37 Dance at the start of the produce</t>
  </si>
  <si>
    <t>Gain +43 Vocal at the start of the produce</t>
  </si>
  <si>
    <t>Gain +43 Dance at the start of the produce</t>
  </si>
  <si>
    <t>Gain +46 Vocal at the start of the produce</t>
  </si>
  <si>
    <t>Gain +46 Dance at the start of the produce</t>
  </si>
  <si>
    <t>Gain +49 Vocal at the start of the produce</t>
  </si>
  <si>
    <t>Gain +49 Dance at the start of the produce</t>
  </si>
  <si>
    <t>When Consultation is selected, gain +14 Dance</t>
  </si>
  <si>
    <t>When Consultation is selected, gain +14 Vocal</t>
  </si>
  <si>
    <t>When Consultation is selected, gain +14 Visual</t>
  </si>
  <si>
    <t>When Consultation is selected, gain +7 Dance</t>
  </si>
  <si>
    <t>When Consultation is selected, gain +7 Vocal</t>
  </si>
  <si>
    <t>When Consultation is selected, gain +7 Visual</t>
  </si>
  <si>
    <t>Honest and Sincere</t>
  </si>
  <si>
    <t>At the start of a Special Guidance gain +7 Dance (thrice per produce)</t>
  </si>
  <si>
    <t>At the start of a Special Guidance gain +13 Dance (thrice per produce)</t>
  </si>
  <si>
    <t>Gain +52 Visual at the start of the produce</t>
  </si>
  <si>
    <t>Gain +52 Dance at the start of the produce</t>
  </si>
  <si>
    <t>Gain +52 Vocal at the start of the produce</t>
  </si>
  <si>
    <t>Gain +55 Visual at the start of the produce</t>
  </si>
  <si>
    <t>Gain +55 Dance at the start of the produce</t>
  </si>
  <si>
    <t>Gain +55 Vocal at the start of the produce</t>
  </si>
  <si>
    <t>Gain +59 Visual at the start of the produce</t>
  </si>
  <si>
    <t>Gain +59 Dance at the start of the produce</t>
  </si>
  <si>
    <t>Gain +59 Vocal at the start of the produce</t>
  </si>
  <si>
    <t>Gain +62 Visual at the start of the produce</t>
  </si>
  <si>
    <t>Gain +62 Dance at the start of the produce</t>
  </si>
  <si>
    <t>Gain +62 Vocal at the start of the produce</t>
  </si>
  <si>
    <t>Gain +65 Visual at the start of the produce</t>
  </si>
  <si>
    <t>Gain +65 Dance at the start of the produce</t>
  </si>
  <si>
    <t>Gain +65 Vocal at the start of the produce</t>
  </si>
  <si>
    <t>When Consultation is selected, gain +9 Vocal</t>
  </si>
  <si>
    <t>When Consultation is selected, gain +9 Dance</t>
  </si>
  <si>
    <t>When Consultation is selected, gain +18 Dance</t>
  </si>
  <si>
    <t>When Consultation is selected, gain +18 Visual</t>
  </si>
  <si>
    <t>Why the hell are you here of all places?</t>
  </si>
  <si>
    <t>Signature - Complete domination</t>
  </si>
  <si>
    <t>When Dance is 700+, if you acquire a skill card with a Full Power effect, gain +30 Dance and acquire a random P Drink (SR+)\nTwice per produce</t>
  </si>
  <si>
    <t>It's time to face myself</t>
  </si>
  <si>
    <t>At the end of a SP lesson, if you have 20+ skill cards, gain +15 Dance (4 times per produce)</t>
  </si>
  <si>
    <t>At the end of a SP lesson, if you have 20+ skill cards, gain +21 Dance (4 times per produce)</t>
  </si>
  <si>
    <t>Signature - A state of selflessness</t>
  </si>
  <si>
    <t>Gain +23 Visual at the start of the produce</t>
  </si>
  <si>
    <t>Gain +23 Vocal at the start of the produce</t>
  </si>
  <si>
    <t>Gain +23 Dance at the start of the produce</t>
  </si>
  <si>
    <t>Gain +33 Visual at the start of the produce</t>
  </si>
  <si>
    <t>Gain +33 Vocal at the start of the produce</t>
  </si>
  <si>
    <t>Gain +33 Dance at the start of the produce</t>
  </si>
  <si>
    <t>Gain +31 Visual at the start of the produce</t>
  </si>
  <si>
    <t>Gain +31 Vocal at the start of the produce</t>
  </si>
  <si>
    <t>Gain +31 Dance at the start of the produce</t>
  </si>
  <si>
    <t>It's bubbling and smells good</t>
  </si>
  <si>
    <t>When replacing a skill card, gain +8 Dance (thrice per produce)</t>
  </si>
  <si>
    <t>When Activity provision or Present is selected, gain +6 Vocal</t>
  </si>
  <si>
    <t>When Activity provision or Present is selected, gain +11 Vocal</t>
  </si>
  <si>
    <t>Signature - Would you like to try it?</t>
  </si>
  <si>
    <t>Two smiling sunshine in full bloom</t>
  </si>
  <si>
    <t>At the start of a Special Guidance gain +9 Dance (thrice per produce)</t>
  </si>
  <si>
    <t>At the start of a Special Guidance gain +18 Dance (thrice per produce)</t>
  </si>
  <si>
    <t>At the start of a Special Guidance gain +9 Visual (thrice per produce)</t>
  </si>
  <si>
    <t>At the start of a Special Guidance gain +18 Visual (thrice per produce)</t>
  </si>
  <si>
    <t>When acquiring a P Item, gain +6 Dance (6 times per produce)</t>
  </si>
  <si>
    <t>When acquiring a P Item, gain +11 Dance (6 times per produce)</t>
  </si>
  <si>
    <t>Signature - Look-alike Woof Woof</t>
  </si>
  <si>
    <t>When acquiring a skill card with a Preservation effect, if Dance is 700+, gain +20 Dance and receive a random P Drink\nTwice per produce</t>
  </si>
  <si>
    <t>Fashion and makeup</t>
  </si>
  <si>
    <t>At the end of an outing gain +8 Vocal</t>
  </si>
  <si>
    <t>At the end of an outing gain +8 Dance</t>
  </si>
  <si>
    <t>At the end of an outing gain +8 Visual</t>
  </si>
  <si>
    <t>Signature - Pitashi Collection</t>
  </si>
  <si>
    <t>Visual lesson / Visual turn only\nWhen using an Active (A) card, if Good Shape is 3+, gain +2 Concentration and +4 Parameters\nOnce per Lesson</t>
  </si>
  <si>
    <t>She's openly slacking off!?</t>
  </si>
  <si>
    <t>When you acquire a skill card (SSR), gain +6 Vocal</t>
  </si>
  <si>
    <t>When you acquire a skill card (SSR), gain +3 Visual</t>
  </si>
  <si>
    <t>When you acquire a skill card (SSR), gain +3 Dance</t>
  </si>
  <si>
    <t>Signature - Adorable delinquent move</t>
  </si>
  <si>
    <t>Cost: -3 (-2) Motivation\nGain +3 (+4) Impression and +1 Card Use\nNext turn, draw 1 additional card, if Motivation is 6+, draw 2 cards\nOnce per lesson (cannot be duplicated)</t>
  </si>
  <si>
    <t>A Temari recital, right?</t>
  </si>
  <si>
    <t>When acquiring a Mental (M) card, gain +1 Dance</t>
  </si>
  <si>
    <t>Signature - Cold Sky Recital</t>
  </si>
  <si>
    <t>Cost: -6 (-5)\nGain +7 Energy, +1 (+2) Full Power Points\nFrom then on, up to 3 times, when using a Mental (M) card in Full Power, gain +2 Full Power Points\nOnce per lesson (cannot be duplicated)</t>
  </si>
  <si>
    <t>I found it.</t>
  </si>
  <si>
    <t>When Activity provision or Present is selected, gain +9 Vocal</t>
  </si>
  <si>
    <t>When Activity provision or Present is selected, gain +9 Dance</t>
  </si>
  <si>
    <t>When Activity provision or Present is selected, gain +9 Visual</t>
  </si>
  <si>
    <t>When acquiring a skill card with a Energy effect, gain +2 Vocal</t>
  </si>
  <si>
    <t>Signature - Where is the lost child?</t>
  </si>
  <si>
    <t>It's a treasure chest of memories, isn't it?</t>
  </si>
  <si>
    <t>Signature - Friend Memories</t>
  </si>
  <si>
    <t>Cost: -2 Motivation\nAfter 4 turns, increase Paramters by 120% of Impression\nIf Motivation is 3+, for the next 3 turns, at the end of the turn, gain +2 (+3) Impression\nOnce per lesson (cannot be duplicated)</t>
  </si>
  <si>
    <t>When replacing a skill card, gain +8 Vocal (thrice per produce)</t>
  </si>
  <si>
    <t>When replacing a skill card, gain +16 Vocal (thrice per produce)</t>
  </si>
  <si>
    <t>Proof of friendship</t>
  </si>
  <si>
    <t>Signature - First fight?</t>
  </si>
  <si>
    <t>When acquiring a skill card with a Concentration effect, if Visual is 400+, gain +15 Visual and +20 P Points\nTwice per produce</t>
  </si>
  <si>
    <t>When acquiring a skill card with a Energy effect, gain +2 Dance</t>
  </si>
  <si>
    <t>When acquiring a skill card with a Energy effect, gain +3 Dance</t>
  </si>
  <si>
    <t>When acquiring a skill card with a Energy effect, gain +4 Dance</t>
  </si>
  <si>
    <t>When acquiring a skill card with a Energy effect, gain +2 Visual</t>
  </si>
  <si>
    <t>When acquiring a skill card with a Energy effect, gain +3 Visual</t>
  </si>
  <si>
    <t>When acquiring a skill card with a Energy effect, gain +4 Visual</t>
  </si>
  <si>
    <t>Signature - Big Sis, Joining the Fight!</t>
  </si>
  <si>
    <t>Cost: -2 (-3) (Red)\nOnly available if Motivation is 6+:\nGain +3 energy, increase parameters by 100% (130%) of energy\nNext turn, draw +2 cards\nOnce per lesson (cannot be duplicated)</t>
  </si>
  <si>
    <t>Prima Stella and the Prince</t>
  </si>
  <si>
    <t>Signature - An Assortment of Happiness</t>
  </si>
  <si>
    <t>After a Vocal SP Lesson, if Vocal is 700+, gain +20 Vocal and +20 P-Points\nTwice per produce</t>
  </si>
  <si>
    <t>Laundry balance tower</t>
  </si>
  <si>
    <t>When enhancing a skill card, gain +1 Vocal</t>
  </si>
  <si>
    <t>When enhancing a skill card, gain +1 Dance</t>
  </si>
  <si>
    <t>When enhancing a skill card, gain +1 Visual</t>
  </si>
  <si>
    <t>When replacing a skill card, gain +8 Visual (thrice per produce)</t>
  </si>
  <si>
    <t>Signature - Laundry essentials</t>
  </si>
  <si>
    <t>A token of our friendship</t>
  </si>
  <si>
    <t>Signature - Hot and fluffy hamburger</t>
  </si>
  <si>
    <t>When acquiring a skill card with a Good Shape effect, if Dance is 400+, remove a random Trouble card and recover 5 HP\nOnce per produce</t>
  </si>
  <si>
    <t>When acquiring a skill card with a Preservation effect, if Vocal is 700+, gain +20 Vocal and enhance a selected skill card\nOnce per produce</t>
  </si>
  <si>
    <t>The Knight and the Tomboy Princess</t>
  </si>
  <si>
    <t>When acquiring a skill card, gain +1 Dance</t>
  </si>
  <si>
    <t>When acquiring a skill card, gain +2 Dance</t>
  </si>
  <si>
    <t>At the end of a SP lesson, if you have 20+ skill cards, gain +8 Dance (4 times per produce)</t>
  </si>
  <si>
    <t>Signature - Acting skills</t>
  </si>
  <si>
    <r>
      <t xml:space="preserve">Visual lesson / Visual turn only\nIf </t>
    </r>
    <r>
      <rPr>
        <sz val="12"/>
        <color theme="1"/>
        <rFont val="Segoe UI Emoji"/>
      </rPr>
      <t>Impression</t>
    </r>
    <r>
      <rPr>
        <sz val="12"/>
        <color theme="1"/>
        <rFont val="Aptos"/>
      </rPr>
      <t xml:space="preserve"> is 5+ when using a skill card, gain +2 </t>
    </r>
    <r>
      <rPr>
        <sz val="12"/>
        <color theme="1"/>
        <rFont val="Segoe UI Emoji"/>
      </rPr>
      <t>Energy\n</t>
    </r>
    <r>
      <rPr>
        <sz val="12"/>
        <color theme="1"/>
        <rFont val="Aptos"/>
      </rPr>
      <t>Twice per lesson</t>
    </r>
  </si>
  <si>
    <t>Visual lesson / Visual turn only\nWhen HP decreases due to skill card cost, gain +2 Good Impression and +2 Stamina Consumption Halved\nOnce per lesson</t>
  </si>
  <si>
    <t>Pulling Juunan</t>
  </si>
  <si>
    <t>When Activity provision or Present is selected, gain +6 Visual</t>
  </si>
  <si>
    <t>When Activity provision or Present is selected, gain +11 Visual</t>
  </si>
  <si>
    <t>When acquiring a skill card with a Preservation effect, gain +4 Vocal</t>
  </si>
  <si>
    <t>When acquiring a skill card with a Preservation effect, gain +4 Dance</t>
  </si>
  <si>
    <t>Signature - Towels for mutual improvement</t>
  </si>
  <si>
    <t>When selecting consultation, if Vocal is 400+, gain +30 Vocal and +30 P Points\nOnce per produce</t>
  </si>
  <si>
    <t>Munch, munch, munch</t>
  </si>
  <si>
    <t>A relaxing and delicious moment</t>
  </si>
  <si>
    <t>Signature - Mogumogu Set Meal</t>
  </si>
  <si>
    <t>When acquiring a skill card with a Motivation effect, if Visual is 400+, select and replace a skill card\nTwice per produce</t>
  </si>
  <si>
    <t>Signature - A relaxing afternoon</t>
  </si>
  <si>
    <t>Visual lesson / Visual turn only\nAfter Full Power Points is increased via direct effect, if in Full Power, gain +6 Full Power Points\nOnce per lesson</t>
  </si>
  <si>
    <t>Bring it on!</t>
  </si>
  <si>
    <t>Congratulations on passing the exam!</t>
  </si>
  <si>
    <t>When acquiring a skill card with a Concentration effect, gain +4 Dance</t>
  </si>
  <si>
    <t>When acquiring a skill card with a Concentration effect, gain +2 Vocal</t>
  </si>
  <si>
    <t>When acquiring a skill card with a Concentration effect, gain +3 Vocal</t>
  </si>
  <si>
    <t>When acquiring a skill card with a Concentration effect, gain +4 Vocal</t>
  </si>
  <si>
    <t>When acquiring a skill card with a Concentration effect, gain +2 Visual</t>
  </si>
  <si>
    <t>When acquiring a skill card with a Concentration effect, gain +3 Visual</t>
  </si>
  <si>
    <t>When acquiring a skill card with a Concentration effect, gain +4 Visual</t>
  </si>
  <si>
    <t>Signature - Hanami Memorial</t>
  </si>
  <si>
    <t>When acquiring a skill card with a Concentration effect, if Dance is 700+, gain +35 Dance and +30 P Points\nTwice per produce</t>
  </si>
  <si>
    <t>At the end of class or business, if Dance is 700+, gain a Hatsuboshi Whey Protein and +40 P Points\nTwice during production</t>
  </si>
  <si>
    <t>I win!</t>
  </si>
  <si>
    <t>Signature - On the count of three, take a bite!</t>
  </si>
  <si>
    <t>Cost: -6 (-4)\nSwap to Strength\nGain +3 Full Power and +3 Parameters (twice)\nIf in Preservation, draw 1 (2) card(s)</t>
  </si>
  <si>
    <t>I'm curious about the evolved bento boxes</t>
  </si>
  <si>
    <t>When acquiring a P Item, gain +15 Dance (6 times per produce)</t>
  </si>
  <si>
    <t>When acquiring a P Item, gain +15 Visual (6 times per produce)</t>
  </si>
  <si>
    <t>Signature - Saki's Complete Food - Revised</t>
  </si>
  <si>
    <t>When you use two skill cards in a turn, gain +2 Good Impression and +25% Good Impression Enhancement\nOnce per lesson</t>
  </si>
  <si>
    <t>I'm looking forward to the party!</t>
  </si>
  <si>
    <t>At the end of an exam or an audition, gain +11 Dance (only twice per produce)</t>
  </si>
  <si>
    <t>At the end of an exam or an audition, gain +17 Dance (only twice per produce)</t>
  </si>
  <si>
    <t>At the end of an exam or an audition, gain +22 Dance (only twice per produce)</t>
  </si>
  <si>
    <t>At the end of an exam or an audition, gain +11 Vocal (only twice per produce)</t>
  </si>
  <si>
    <t>At the end of an exam or an audition, gain +17 Vocal (only twice per produce)</t>
  </si>
  <si>
    <t>At the end of a test, gain +6 Stamina (twice per produce)</t>
  </si>
  <si>
    <t>At the end of a test, gain +8 Stamina (twice per produce)</t>
  </si>
  <si>
    <t>At the end of an exam or an audition, gain +9 Visual (only twice per produce)</t>
  </si>
  <si>
    <t>At the end of an exam or an audition, gain +17 Visual (only twice per produce)</t>
  </si>
  <si>
    <t>At the end of an exam or an audition, gain +22 Vocal (only twice per produce)</t>
  </si>
  <si>
    <t>At the end of an exam or an audition, gain +22 Visual (only twice per produce)</t>
  </si>
  <si>
    <t>At the end of an exam or an audition, gain +9 Vocal (only twice per produce)</t>
  </si>
  <si>
    <t>At the end of an exam or an audition, gain +9 Dance (only twice per produce)</t>
  </si>
  <si>
    <t>At the end of an exam or an audition, gain +11 Visual (only twice per produce)</t>
  </si>
  <si>
    <t>When enhancing an Active (A) skill card, gain +5 Dance</t>
  </si>
  <si>
    <t>When enhancing an Active (A) skill card, gain +7 Dance</t>
  </si>
  <si>
    <t>When enhancing an Active (A) skill card, gain +9 Dance</t>
  </si>
  <si>
    <t>When enhancing an Active (A) skill card, gain +5 Visual</t>
  </si>
  <si>
    <t>Signature - Shopping bag</t>
  </si>
  <si>
    <t>Dance lesson / Dance turn only\nWhen you enter Strength via direct effect, if Energy is 0, gain +1 Stamina Consumption Halved</t>
  </si>
  <si>
    <t>Thank you for your hard work on your long journey!</t>
  </si>
  <si>
    <t>When acquiring a skill card with a Good Shape effect, gain +2 Vocal</t>
  </si>
  <si>
    <t>When acquiring a skill card with a Good Shape effect, gain +2 Dance</t>
  </si>
  <si>
    <t>When acquiring a skill card with a Good Shape effect, gain +2 Visual</t>
  </si>
  <si>
    <t>When acquiring a skill card with a Good Shape effect, gain +3 Dance</t>
  </si>
  <si>
    <t>When acquiring a skill card with a Good Shape effect, gain +3 Visual</t>
  </si>
  <si>
    <t>When acquiring a skill card with a Good Shape effect, gain +4 Dance</t>
  </si>
  <si>
    <t>When acquiring a skill card with a Good Shape effect, gain +4 Visual</t>
  </si>
  <si>
    <t>Signature - To make your dreams come true</t>
  </si>
  <si>
    <t>Visual lesson / Visual turn only\nAt the start of the turn, if there are 7+ banished cards, gain +1 Good Shape</t>
  </si>
  <si>
    <t>Up there!!</t>
  </si>
  <si>
    <t>Signature - Watch your head!</t>
  </si>
  <si>
    <t>Cost: -4 (-1)\nUsable from the 3rd turn onwards\nGain +3 Motivation, +50% Increased Motivation Gain, and +1 Stamina Consumption Reduction\nOnce per lesson</t>
  </si>
  <si>
    <t>Just the two of us, on the train</t>
  </si>
  <si>
    <t>Signature - Clatter, snoring</t>
  </si>
  <si>
    <t>Cost: -1\nUsable when in Preservation\nSwitch to Strength\nGain +11 (+16) Parameters\nReplace all cards in your hand\nOnce per lesson</t>
  </si>
  <si>
    <t>date_b2</t>
  </si>
  <si>
    <t>At the end of an outing gain +28 Vocal (twice per produce)</t>
  </si>
  <si>
    <t>At the end of an outing gain +38 Vocal (twice per produce)</t>
  </si>
  <si>
    <t>At the end of an outing gain +28 Dance (twice per produce)</t>
  </si>
  <si>
    <t>At the end of an outing gain +38 Dance (twice per produce)</t>
  </si>
  <si>
    <t>At the end of an outing gain +28 Visual (twice per produce)</t>
  </si>
  <si>
    <t>At the end of an outing gain +38 Visual (twice per produce)</t>
  </si>
  <si>
    <t>Signature - Unexpected Ticket</t>
  </si>
  <si>
    <t>Visual lesson / Visual turn only\nAfter the start of the turn, if Good Shape is 10+, gain +3 Good Shape, +1 play, and choose 1 idol signature to move from deck or discard to hand\nOnce per lesson</t>
  </si>
  <si>
    <t>...What a noisy festival</t>
  </si>
  <si>
    <t>Gain +22.5% chance of all SP Lessons</t>
  </si>
  <si>
    <t>Gain +24% chance of all SP Lessons</t>
  </si>
  <si>
    <t>Gain +25% chance of all SP Lessons</t>
  </si>
  <si>
    <t>Gain +26.5% chance of all SP Lessons</t>
  </si>
  <si>
    <t>Gain +28% chance of all SP Lessons</t>
  </si>
  <si>
    <t>gift_b2</t>
  </si>
  <si>
    <t>At the end of an Activity provision or Present gain +28 Vocal (twice per produce)</t>
  </si>
  <si>
    <t>At the end of an Activity provision or Present gain +28 Dance (twice per produce)</t>
  </si>
  <si>
    <t>At the end of an Activity provision or Present gain +28 Visual (twice per produce)</t>
  </si>
  <si>
    <t>At the end of an Activity provision or Present gain +38 Vocal (twice per produce)</t>
  </si>
  <si>
    <t>At the end of an Activity provision or Present gain +38 Dance (twice per produce)</t>
  </si>
  <si>
    <t>At the end of an Activity provision or Present gain +38 Visual (twice per produce)</t>
  </si>
  <si>
    <t>shop_b2</t>
  </si>
  <si>
    <t>At the end of an Consultation gain +28 Vocal (twice per produce)</t>
  </si>
  <si>
    <t>At the end of an Consultation gain +28 Dance (twice per produce)</t>
  </si>
  <si>
    <t>At the end of an Consultation gain +28 Visual (twice per produce)</t>
  </si>
  <si>
    <t>At the end of an Consultation gain +38 Vocal (twice per produce)</t>
  </si>
  <si>
    <t>At the end of an Consultation gain +38 Dance (twice per produce)</t>
  </si>
  <si>
    <t>At the end of an Consultation gain +38 Visual (twice per produce)</t>
  </si>
  <si>
    <t>Gain +60 P Points</t>
  </si>
  <si>
    <t>Gain +70 P Points</t>
  </si>
  <si>
    <t>Gain +80 P Points</t>
  </si>
  <si>
    <t>If P Points is 200+, at the start of a Special Guidance, gain +70 P Points\nOnce per produce</t>
  </si>
  <si>
    <t>When acquiring a skill card with a Good Impression effect, gain +3 Vocal</t>
  </si>
  <si>
    <t>When acquiring a skill card with a Good Impression effect, gain +4 Vocal</t>
  </si>
  <si>
    <t>Cost: -5 (-3)\nMove 1 random Drowsiness card from the deck or discard pile to the removed pile\nGain +4 Impression\nGain +3 Motivation\Once per lesson</t>
  </si>
  <si>
    <t>Vocal lesson / Vocal turn only\nAt the start of the turn, if stamina is below 50%, gain +2 Motivation and +2 turns of Stamina Consumption Halved\nOnce per lesson</t>
  </si>
  <si>
    <t>When enhancing an Mental (M) skill card, gain +5 Vocal</t>
  </si>
  <si>
    <t>When enhancing an Mental (M) skill card, gain +5 Dance</t>
  </si>
  <si>
    <t>When enhancing an Mental (M) skill card, gain +5 Visual</t>
  </si>
  <si>
    <t>When enhancing an Mental (M) skill card, gain +7 Vocal</t>
  </si>
  <si>
    <t>When enhancing an Mental (M) skill card, gain +7 Dance</t>
  </si>
  <si>
    <t>When enhancing an Mental (M) skill card, gain +7 Visual</t>
  </si>
  <si>
    <t>When enhancing an Mental (M) skill card, gain +9 Vocal</t>
  </si>
  <si>
    <t>When enhancing an Mental (M) skill card, gain +9 Dance</t>
  </si>
  <si>
    <t>When enhancing an Mental (M) skill card, gain +9 Visual</t>
  </si>
  <si>
    <t>Cost: -6 (-4)\nDraw 1 card, then replace all cards in hand\nGain +1 play\nOnce per lesson</t>
  </si>
  <si>
    <t>At the start of a Special Guidance gain +25 Vocal (thrice per produce)</t>
  </si>
  <si>
    <t>At the start of a Special Guidance gain +25 Dance (thrice per produce)</t>
  </si>
  <si>
    <t>At the start of a Special Guidance gain +25 Visual (thrice per produce)</t>
  </si>
  <si>
    <t>What's going to happen?</t>
  </si>
  <si>
    <t>We're going to grow too!</t>
  </si>
  <si>
    <t>Entertain me</t>
  </si>
  <si>
    <t>Signature - Let's see what you can do</t>
  </si>
  <si>
    <t>Signature - Achieving your dream</t>
  </si>
  <si>
    <t>Signature - Fate of Romantic Feelings</t>
  </si>
  <si>
    <t>Visual lesson / Visual turn only\nAfter the start of the turn, if in Preservation, gain +3 Energy and move a random Strength effect card from deck or discard to hand\nThrice per lesson</t>
  </si>
  <si>
    <t>At the end of an Activity provision or Present gain +26 Vocal (twice per produce)</t>
  </si>
  <si>
    <t>At the end of an Activity provision or Present gain +26 Dance (twice per produce)</t>
  </si>
  <si>
    <t>At the end of an Activity provision or Present gain +26 Visual (twice per produce)</t>
  </si>
  <si>
    <t>At the end of an Activity provision or Present gain +13 Vocal (twice per produce)</t>
  </si>
  <si>
    <t>At the end of an Activity provision or Present gain +13 Dance (twice per produce)</t>
  </si>
  <si>
    <t>At the end of an Activity provision or Present gain +13 Visual (twice per produce)</t>
  </si>
  <si>
    <t>Things I can't give up on</t>
  </si>
  <si>
    <t>Signature - Nostalgia Party Debate</t>
  </si>
  <si>
    <t>When selecting Activity Provision or Present, if Vocal is 700+, gain +20 Vocal\nSelection and copy a skill card\nOnce per 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</si>
</sst>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131313"/>
      <name val="Arial"/>
    </font>
    <font>
      <sz val="12"/>
      <color theme="1"/>
      <name val="Aptos"/>
    </font>
    <font>
      <sz val="12"/>
      <color theme="1"/>
      <name val="Segoe UI Emoji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0" fillId="2" borderId="0" xfId="0" applyFill="1"/>
    <xf numFmtId="0" fontId="2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  <xf numFmtId="0" fontId="6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00"/>
  <sheetViews>
    <sheetView workbookViewId="0">
      <selection activeCell="T2" sqref="T2"/>
    </sheetView>
  </sheetViews>
  <sheetFormatPr defaultColWidth="12.625" defaultRowHeight="15" customHeight="1"/>
  <cols>
    <col min="1" max="47" width="8.625" customWidth="1"/>
    <col min="48" max="48" width="27.75" customWidth="1"/>
    <col min="49" max="49" width="37.625" customWidth="1"/>
    <col min="50" max="50" width="40.75" customWidth="1"/>
    <col min="51" max="51" width="47.625" customWidth="1"/>
    <col min="52" max="52" width="54.25" customWidth="1"/>
    <col min="53" max="55" width="19.75" customWidth="1"/>
    <col min="56" max="56" width="8.625" customWidth="1"/>
  </cols>
  <sheetData>
    <row r="1" spans="1:56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t="s">
        <v>1136</v>
      </c>
      <c r="Q1" s="1" t="s">
        <v>15</v>
      </c>
      <c r="R1" s="1" t="s">
        <v>1121</v>
      </c>
      <c r="S1" s="1" t="s">
        <v>16</v>
      </c>
      <c r="T1" t="s">
        <v>1143</v>
      </c>
      <c r="U1" s="1" t="s">
        <v>17</v>
      </c>
      <c r="V1" s="2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2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</row>
    <row r="2" spans="1:56" ht="14.25">
      <c r="A2" s="1">
        <v>10001</v>
      </c>
      <c r="B2" s="1">
        <v>2</v>
      </c>
      <c r="C2" s="1">
        <v>0</v>
      </c>
      <c r="D2" s="1">
        <v>1</v>
      </c>
      <c r="E2" s="1">
        <v>0</v>
      </c>
      <c r="F2" s="1">
        <v>0</v>
      </c>
      <c r="G2" s="1">
        <v>23</v>
      </c>
      <c r="H2" s="1">
        <v>20</v>
      </c>
      <c r="I2" s="1">
        <v>0</v>
      </c>
      <c r="J2" s="1">
        <v>1</v>
      </c>
      <c r="K2" s="1">
        <v>0</v>
      </c>
      <c r="M2" s="1">
        <v>0</v>
      </c>
      <c r="N2" s="1">
        <v>6</v>
      </c>
      <c r="O2" s="1">
        <v>0</v>
      </c>
      <c r="P2" s="1"/>
      <c r="Q2" s="1">
        <v>0</v>
      </c>
      <c r="R2" s="1"/>
      <c r="S2" s="1">
        <v>0</v>
      </c>
      <c r="T2" s="1"/>
      <c r="U2" s="1">
        <v>0</v>
      </c>
      <c r="W2" s="1">
        <v>0</v>
      </c>
      <c r="X2" s="1">
        <v>0</v>
      </c>
      <c r="Y2" s="1">
        <v>0</v>
      </c>
      <c r="Z2" s="1">
        <v>0</v>
      </c>
      <c r="AB2" s="1">
        <v>0</v>
      </c>
      <c r="AC2" s="1">
        <v>0</v>
      </c>
      <c r="AD2" s="1">
        <v>0</v>
      </c>
      <c r="AL2" s="1">
        <v>0</v>
      </c>
      <c r="AQ2" s="1">
        <v>0</v>
      </c>
      <c r="AT2" s="1">
        <v>0</v>
      </c>
      <c r="AU2" s="1">
        <v>10</v>
      </c>
      <c r="AV2" s="1" t="s">
        <v>53</v>
      </c>
      <c r="AW2" s="1" t="s">
        <v>970</v>
      </c>
      <c r="AX2" s="1" t="s">
        <v>54</v>
      </c>
      <c r="AY2" s="1" t="s">
        <v>55</v>
      </c>
      <c r="AZ2" s="1" t="s">
        <v>56</v>
      </c>
      <c r="BA2" s="1" t="s">
        <v>57</v>
      </c>
      <c r="BB2" s="1" t="s">
        <v>58</v>
      </c>
      <c r="BC2" s="1" t="s">
        <v>59</v>
      </c>
      <c r="BD2" s="1" t="s">
        <v>60</v>
      </c>
    </row>
    <row r="3" spans="1:56" ht="14.25">
      <c r="A3" s="1">
        <v>10001</v>
      </c>
      <c r="B3" s="1">
        <v>2</v>
      </c>
      <c r="C3" s="1">
        <v>0</v>
      </c>
      <c r="D3" s="1">
        <v>1</v>
      </c>
      <c r="E3" s="1">
        <v>1</v>
      </c>
      <c r="F3" s="1">
        <v>0</v>
      </c>
      <c r="G3" s="1">
        <v>26</v>
      </c>
      <c r="H3" s="1">
        <v>20</v>
      </c>
      <c r="I3" s="1">
        <v>0</v>
      </c>
      <c r="J3" s="1">
        <v>1</v>
      </c>
      <c r="K3" s="1">
        <v>0</v>
      </c>
      <c r="M3" s="1">
        <v>0</v>
      </c>
      <c r="N3" s="1">
        <v>6</v>
      </c>
      <c r="O3" s="1">
        <v>0</v>
      </c>
      <c r="P3" s="1"/>
      <c r="Q3" s="1">
        <v>0</v>
      </c>
      <c r="R3" s="1"/>
      <c r="S3" s="1">
        <v>0</v>
      </c>
      <c r="T3" s="1"/>
      <c r="U3" s="1">
        <v>0</v>
      </c>
      <c r="W3" s="1">
        <v>0</v>
      </c>
      <c r="X3" s="1">
        <v>0</v>
      </c>
      <c r="Y3" s="1">
        <v>0</v>
      </c>
      <c r="Z3" s="1">
        <v>0</v>
      </c>
      <c r="AB3" s="1">
        <v>0</v>
      </c>
      <c r="AC3" s="1">
        <v>0</v>
      </c>
      <c r="AD3" s="1">
        <v>0</v>
      </c>
      <c r="AL3" s="1">
        <v>0</v>
      </c>
      <c r="AQ3" s="1">
        <v>0</v>
      </c>
      <c r="AT3" s="1">
        <v>0</v>
      </c>
      <c r="AU3" s="1">
        <v>10</v>
      </c>
      <c r="AV3" s="1" t="s">
        <v>53</v>
      </c>
      <c r="AW3" s="1" t="s">
        <v>62</v>
      </c>
      <c r="AX3" s="1" t="s">
        <v>54</v>
      </c>
      <c r="AY3" s="1" t="s">
        <v>55</v>
      </c>
      <c r="AZ3" s="1" t="s">
        <v>56</v>
      </c>
      <c r="BA3" s="1" t="s">
        <v>61</v>
      </c>
      <c r="BB3" s="1" t="s">
        <v>58</v>
      </c>
      <c r="BC3" s="1" t="s">
        <v>59</v>
      </c>
      <c r="BD3" s="1" t="s">
        <v>60</v>
      </c>
    </row>
    <row r="4" spans="1:56" ht="14.25">
      <c r="A4" s="1">
        <v>10001</v>
      </c>
      <c r="B4" s="1">
        <v>2</v>
      </c>
      <c r="C4" s="1">
        <v>0</v>
      </c>
      <c r="D4" s="1">
        <v>1</v>
      </c>
      <c r="E4" s="1">
        <v>2</v>
      </c>
      <c r="F4" s="1">
        <v>0</v>
      </c>
      <c r="G4" s="1">
        <v>28</v>
      </c>
      <c r="H4" s="1">
        <v>20</v>
      </c>
      <c r="I4" s="1">
        <v>0</v>
      </c>
      <c r="J4" s="1">
        <v>1</v>
      </c>
      <c r="K4" s="1">
        <v>0</v>
      </c>
      <c r="M4" s="1">
        <v>0</v>
      </c>
      <c r="N4" s="1">
        <v>11</v>
      </c>
      <c r="O4" s="1">
        <v>0</v>
      </c>
      <c r="P4" s="1"/>
      <c r="Q4" s="1">
        <v>0</v>
      </c>
      <c r="R4" s="1"/>
      <c r="S4" s="1">
        <v>0</v>
      </c>
      <c r="T4" s="1"/>
      <c r="U4" s="1">
        <v>0</v>
      </c>
      <c r="W4" s="1">
        <v>0</v>
      </c>
      <c r="X4" s="1">
        <v>0</v>
      </c>
      <c r="Y4" s="1">
        <v>0</v>
      </c>
      <c r="Z4" s="1">
        <v>0</v>
      </c>
      <c r="AB4" s="1">
        <v>0</v>
      </c>
      <c r="AC4" s="1">
        <v>0</v>
      </c>
      <c r="AD4" s="1">
        <v>0</v>
      </c>
      <c r="AL4" s="1">
        <v>0</v>
      </c>
      <c r="AQ4" s="1">
        <v>0</v>
      </c>
      <c r="AT4" s="1">
        <v>0</v>
      </c>
      <c r="AU4" s="1">
        <v>15</v>
      </c>
      <c r="AV4" s="1" t="s">
        <v>53</v>
      </c>
      <c r="AW4" s="1" t="s">
        <v>64</v>
      </c>
      <c r="AX4" s="1" t="s">
        <v>54</v>
      </c>
      <c r="AY4" s="1" t="s">
        <v>55</v>
      </c>
      <c r="AZ4" s="1" t="s">
        <v>63</v>
      </c>
      <c r="BA4" s="1" t="s">
        <v>61</v>
      </c>
      <c r="BB4" s="1" t="s">
        <v>58</v>
      </c>
      <c r="BC4" s="1" t="s">
        <v>59</v>
      </c>
      <c r="BD4" s="1" t="s">
        <v>60</v>
      </c>
    </row>
    <row r="5" spans="1:56" ht="14.25">
      <c r="A5" s="1">
        <v>10001</v>
      </c>
      <c r="B5" s="1">
        <v>2</v>
      </c>
      <c r="C5" s="1">
        <v>0</v>
      </c>
      <c r="D5" s="1">
        <v>1</v>
      </c>
      <c r="E5" s="1">
        <v>3</v>
      </c>
      <c r="F5" s="1">
        <v>0</v>
      </c>
      <c r="G5" s="1">
        <v>31</v>
      </c>
      <c r="H5" s="1">
        <v>20</v>
      </c>
      <c r="I5" s="1">
        <v>0</v>
      </c>
      <c r="J5" s="1">
        <v>1</v>
      </c>
      <c r="K5" s="1">
        <v>0</v>
      </c>
      <c r="M5" s="1">
        <v>0</v>
      </c>
      <c r="N5" s="1">
        <v>11</v>
      </c>
      <c r="O5" s="1">
        <v>0</v>
      </c>
      <c r="P5" s="1"/>
      <c r="Q5" s="1">
        <v>0</v>
      </c>
      <c r="R5" s="1"/>
      <c r="S5" s="1">
        <v>0</v>
      </c>
      <c r="T5" s="1"/>
      <c r="U5" s="1">
        <v>0</v>
      </c>
      <c r="W5" s="1">
        <v>0</v>
      </c>
      <c r="X5" s="1">
        <v>0</v>
      </c>
      <c r="Y5" s="1">
        <v>0</v>
      </c>
      <c r="Z5" s="1">
        <v>0</v>
      </c>
      <c r="AB5" s="1">
        <v>0</v>
      </c>
      <c r="AC5" s="1">
        <v>0</v>
      </c>
      <c r="AD5" s="1">
        <v>0</v>
      </c>
      <c r="AL5" s="1">
        <v>0</v>
      </c>
      <c r="AQ5" s="1">
        <v>0</v>
      </c>
      <c r="AT5" s="1">
        <v>0</v>
      </c>
      <c r="AU5" s="1">
        <v>17</v>
      </c>
      <c r="AV5" s="1" t="s">
        <v>53</v>
      </c>
      <c r="AW5" s="1" t="s">
        <v>976</v>
      </c>
      <c r="AX5" s="1" t="s">
        <v>54</v>
      </c>
      <c r="AY5" s="1" t="s">
        <v>55</v>
      </c>
      <c r="AZ5" s="1" t="s">
        <v>63</v>
      </c>
      <c r="BA5" s="1" t="s">
        <v>65</v>
      </c>
      <c r="BB5" s="1" t="s">
        <v>58</v>
      </c>
      <c r="BC5" s="1" t="s">
        <v>59</v>
      </c>
      <c r="BD5" s="1" t="s">
        <v>60</v>
      </c>
    </row>
    <row r="6" spans="1:56" ht="14.25">
      <c r="A6" s="1">
        <v>10001</v>
      </c>
      <c r="B6" s="1">
        <v>2</v>
      </c>
      <c r="C6" s="1">
        <v>0</v>
      </c>
      <c r="D6" s="1">
        <v>1</v>
      </c>
      <c r="E6" s="1">
        <v>4</v>
      </c>
      <c r="F6" s="1">
        <v>0</v>
      </c>
      <c r="G6" s="1">
        <v>33</v>
      </c>
      <c r="H6" s="1">
        <v>20</v>
      </c>
      <c r="I6" s="1">
        <v>0</v>
      </c>
      <c r="J6" s="1">
        <v>3</v>
      </c>
      <c r="K6" s="1">
        <v>0</v>
      </c>
      <c r="M6" s="1">
        <v>0</v>
      </c>
      <c r="N6" s="1">
        <v>11</v>
      </c>
      <c r="O6" s="1">
        <v>0</v>
      </c>
      <c r="P6" s="1"/>
      <c r="Q6" s="1">
        <v>0</v>
      </c>
      <c r="R6" s="1"/>
      <c r="S6" s="1">
        <v>0</v>
      </c>
      <c r="T6" s="1"/>
      <c r="U6" s="1">
        <v>0</v>
      </c>
      <c r="W6" s="1">
        <v>0</v>
      </c>
      <c r="X6" s="1">
        <v>0</v>
      </c>
      <c r="Y6" s="1">
        <v>0</v>
      </c>
      <c r="Z6" s="1">
        <v>0</v>
      </c>
      <c r="AB6" s="1">
        <v>0</v>
      </c>
      <c r="AC6" s="1">
        <v>0</v>
      </c>
      <c r="AD6" s="1">
        <v>0</v>
      </c>
      <c r="AL6" s="1">
        <v>0</v>
      </c>
      <c r="AQ6" s="1">
        <v>0</v>
      </c>
      <c r="AT6" s="1">
        <v>0</v>
      </c>
      <c r="AU6" s="1">
        <v>20</v>
      </c>
      <c r="AV6" s="1" t="s">
        <v>53</v>
      </c>
      <c r="AW6" s="1" t="s">
        <v>973</v>
      </c>
      <c r="AX6" s="1" t="s">
        <v>54</v>
      </c>
      <c r="AY6" s="1" t="s">
        <v>66</v>
      </c>
      <c r="AZ6" s="1" t="s">
        <v>63</v>
      </c>
      <c r="BA6" s="1" t="s">
        <v>67</v>
      </c>
      <c r="BB6" s="1" t="s">
        <v>58</v>
      </c>
      <c r="BC6" s="1" t="s">
        <v>59</v>
      </c>
      <c r="BD6" s="1" t="s">
        <v>60</v>
      </c>
    </row>
    <row r="7" spans="1:56" ht="14.25">
      <c r="A7" s="1">
        <f t="shared" ref="A7:A61" si="0">A2+1</f>
        <v>10002</v>
      </c>
      <c r="B7" s="1">
        <v>0</v>
      </c>
      <c r="C7" s="1">
        <v>0</v>
      </c>
      <c r="D7" s="1">
        <v>1</v>
      </c>
      <c r="E7" s="1">
        <f t="shared" ref="E7:E66" si="1">E2</f>
        <v>0</v>
      </c>
      <c r="F7" s="1">
        <v>0</v>
      </c>
      <c r="G7" s="1">
        <f t="shared" ref="G7:G31" si="2">G2</f>
        <v>23</v>
      </c>
      <c r="H7" s="1">
        <v>20</v>
      </c>
      <c r="I7" s="1">
        <v>0</v>
      </c>
      <c r="J7" s="1">
        <f t="shared" ref="J7:J16" si="3">J2</f>
        <v>1</v>
      </c>
      <c r="K7" s="1">
        <v>0</v>
      </c>
      <c r="M7" s="1">
        <v>0</v>
      </c>
      <c r="N7" s="1">
        <v>6</v>
      </c>
      <c r="O7" s="1">
        <v>0</v>
      </c>
      <c r="P7" s="1"/>
      <c r="Q7" s="1">
        <v>0</v>
      </c>
      <c r="R7" s="1"/>
      <c r="S7" s="1">
        <v>0</v>
      </c>
      <c r="T7" s="1"/>
      <c r="U7" s="1">
        <v>0</v>
      </c>
      <c r="W7" s="1">
        <v>0</v>
      </c>
      <c r="X7" s="1">
        <v>0</v>
      </c>
      <c r="Y7" s="1">
        <v>0</v>
      </c>
      <c r="Z7" s="1">
        <v>0</v>
      </c>
      <c r="AB7" s="1">
        <v>0</v>
      </c>
      <c r="AC7" s="1">
        <v>0</v>
      </c>
      <c r="AD7" s="1">
        <v>0</v>
      </c>
      <c r="AL7" s="1">
        <v>0</v>
      </c>
      <c r="AQ7" s="1">
        <v>0</v>
      </c>
      <c r="AT7" s="1">
        <v>0</v>
      </c>
      <c r="AU7" s="1">
        <v>10</v>
      </c>
      <c r="AV7" s="1" t="s">
        <v>68</v>
      </c>
      <c r="AW7" s="1" t="s">
        <v>971</v>
      </c>
      <c r="AX7" s="1" t="s">
        <v>54</v>
      </c>
      <c r="AY7" s="1" t="s">
        <v>69</v>
      </c>
      <c r="AZ7" s="1" t="s">
        <v>70</v>
      </c>
      <c r="BA7" s="1" t="s">
        <v>71</v>
      </c>
      <c r="BB7" s="1" t="s">
        <v>58</v>
      </c>
      <c r="BC7" s="1" t="s">
        <v>59</v>
      </c>
      <c r="BD7" s="1" t="s">
        <v>60</v>
      </c>
    </row>
    <row r="8" spans="1:56" ht="14.25">
      <c r="A8" s="1">
        <f t="shared" si="0"/>
        <v>10002</v>
      </c>
      <c r="B8" s="1">
        <v>0</v>
      </c>
      <c r="C8" s="1">
        <v>0</v>
      </c>
      <c r="D8" s="1">
        <v>1</v>
      </c>
      <c r="E8" s="1">
        <f t="shared" si="1"/>
        <v>1</v>
      </c>
      <c r="F8" s="1">
        <v>0</v>
      </c>
      <c r="G8" s="1">
        <f t="shared" si="2"/>
        <v>26</v>
      </c>
      <c r="H8" s="1">
        <v>20</v>
      </c>
      <c r="I8" s="1">
        <v>0</v>
      </c>
      <c r="J8" s="1">
        <f t="shared" si="3"/>
        <v>1</v>
      </c>
      <c r="K8" s="1">
        <v>0</v>
      </c>
      <c r="M8" s="1">
        <v>0</v>
      </c>
      <c r="N8" s="1">
        <v>6</v>
      </c>
      <c r="O8" s="1">
        <v>0</v>
      </c>
      <c r="P8" s="1"/>
      <c r="Q8" s="1">
        <v>0</v>
      </c>
      <c r="R8" s="1"/>
      <c r="S8" s="1">
        <v>0</v>
      </c>
      <c r="T8" s="1"/>
      <c r="U8" s="1">
        <v>0</v>
      </c>
      <c r="W8" s="1">
        <v>0</v>
      </c>
      <c r="X8" s="1">
        <v>0</v>
      </c>
      <c r="Y8" s="1">
        <v>0</v>
      </c>
      <c r="Z8" s="1">
        <v>0</v>
      </c>
      <c r="AB8" s="1">
        <v>0</v>
      </c>
      <c r="AC8" s="1">
        <v>0</v>
      </c>
      <c r="AD8" s="1">
        <v>0</v>
      </c>
      <c r="AL8" s="1">
        <v>0</v>
      </c>
      <c r="AQ8" s="1">
        <v>0</v>
      </c>
      <c r="AT8" s="1">
        <v>0</v>
      </c>
      <c r="AU8" s="1">
        <v>10</v>
      </c>
      <c r="AV8" s="1" t="s">
        <v>68</v>
      </c>
      <c r="AW8" s="1" t="s">
        <v>73</v>
      </c>
      <c r="AX8" s="1" t="s">
        <v>54</v>
      </c>
      <c r="AY8" s="1" t="s">
        <v>69</v>
      </c>
      <c r="AZ8" s="1" t="s">
        <v>70</v>
      </c>
      <c r="BA8" s="1" t="s">
        <v>72</v>
      </c>
      <c r="BB8" s="1" t="s">
        <v>58</v>
      </c>
      <c r="BC8" s="1" t="s">
        <v>59</v>
      </c>
      <c r="BD8" s="1" t="s">
        <v>60</v>
      </c>
    </row>
    <row r="9" spans="1:56" ht="14.25">
      <c r="A9" s="1">
        <f t="shared" si="0"/>
        <v>10002</v>
      </c>
      <c r="B9" s="1">
        <v>0</v>
      </c>
      <c r="C9" s="1">
        <v>0</v>
      </c>
      <c r="D9" s="1">
        <v>1</v>
      </c>
      <c r="E9" s="1">
        <f t="shared" si="1"/>
        <v>2</v>
      </c>
      <c r="F9" s="1">
        <v>0</v>
      </c>
      <c r="G9" s="1">
        <f t="shared" si="2"/>
        <v>28</v>
      </c>
      <c r="H9" s="1">
        <v>20</v>
      </c>
      <c r="I9" s="1">
        <v>0</v>
      </c>
      <c r="J9" s="1">
        <f t="shared" si="3"/>
        <v>1</v>
      </c>
      <c r="K9" s="1">
        <v>0</v>
      </c>
      <c r="M9" s="1">
        <v>0</v>
      </c>
      <c r="N9" s="1">
        <v>11</v>
      </c>
      <c r="O9" s="1">
        <v>0</v>
      </c>
      <c r="P9" s="1"/>
      <c r="Q9" s="1">
        <v>0</v>
      </c>
      <c r="R9" s="1"/>
      <c r="S9" s="1">
        <v>0</v>
      </c>
      <c r="T9" s="1"/>
      <c r="U9" s="1">
        <v>0</v>
      </c>
      <c r="W9" s="1">
        <v>0</v>
      </c>
      <c r="X9" s="1">
        <v>0</v>
      </c>
      <c r="Y9" s="1">
        <v>0</v>
      </c>
      <c r="Z9" s="1">
        <v>0</v>
      </c>
      <c r="AB9" s="1">
        <v>0</v>
      </c>
      <c r="AC9" s="1">
        <v>0</v>
      </c>
      <c r="AD9" s="1">
        <v>0</v>
      </c>
      <c r="AL9" s="1">
        <v>0</v>
      </c>
      <c r="AQ9" s="1">
        <v>0</v>
      </c>
      <c r="AT9" s="1">
        <v>0</v>
      </c>
      <c r="AU9" s="1">
        <v>15</v>
      </c>
      <c r="AV9" s="1" t="s">
        <v>68</v>
      </c>
      <c r="AW9" s="1" t="s">
        <v>75</v>
      </c>
      <c r="AX9" s="1" t="s">
        <v>54</v>
      </c>
      <c r="AY9" s="1" t="s">
        <v>69</v>
      </c>
      <c r="AZ9" s="1" t="s">
        <v>74</v>
      </c>
      <c r="BA9" s="1" t="s">
        <v>72</v>
      </c>
      <c r="BB9" s="1" t="s">
        <v>58</v>
      </c>
      <c r="BC9" s="1" t="s">
        <v>59</v>
      </c>
      <c r="BD9" s="1" t="s">
        <v>60</v>
      </c>
    </row>
    <row r="10" spans="1:56" ht="14.25">
      <c r="A10" s="1">
        <f t="shared" si="0"/>
        <v>10002</v>
      </c>
      <c r="B10" s="1">
        <v>0</v>
      </c>
      <c r="C10" s="1">
        <v>0</v>
      </c>
      <c r="D10" s="1">
        <v>1</v>
      </c>
      <c r="E10" s="1">
        <f t="shared" si="1"/>
        <v>3</v>
      </c>
      <c r="F10" s="1">
        <v>0</v>
      </c>
      <c r="G10" s="1">
        <f t="shared" si="2"/>
        <v>31</v>
      </c>
      <c r="H10" s="1">
        <v>20</v>
      </c>
      <c r="I10" s="1">
        <v>0</v>
      </c>
      <c r="J10" s="1">
        <f t="shared" si="3"/>
        <v>1</v>
      </c>
      <c r="K10" s="1">
        <v>0</v>
      </c>
      <c r="M10" s="1">
        <v>0</v>
      </c>
      <c r="N10" s="1">
        <v>11</v>
      </c>
      <c r="O10" s="1">
        <v>0</v>
      </c>
      <c r="P10" s="1"/>
      <c r="Q10" s="1">
        <v>0</v>
      </c>
      <c r="R10" s="1"/>
      <c r="S10" s="1">
        <v>0</v>
      </c>
      <c r="T10" s="1"/>
      <c r="U10" s="1">
        <v>0</v>
      </c>
      <c r="W10" s="1">
        <v>0</v>
      </c>
      <c r="X10" s="1">
        <v>0</v>
      </c>
      <c r="Y10" s="1">
        <v>0</v>
      </c>
      <c r="Z10" s="1">
        <v>0</v>
      </c>
      <c r="AB10" s="1">
        <v>0</v>
      </c>
      <c r="AC10" s="1">
        <v>0</v>
      </c>
      <c r="AD10" s="1">
        <v>0</v>
      </c>
      <c r="AL10" s="1">
        <v>0</v>
      </c>
      <c r="AQ10" s="1">
        <v>0</v>
      </c>
      <c r="AT10" s="1">
        <v>0</v>
      </c>
      <c r="AU10" s="1">
        <v>17</v>
      </c>
      <c r="AV10" s="1" t="s">
        <v>68</v>
      </c>
      <c r="AW10" s="1" t="s">
        <v>977</v>
      </c>
      <c r="AX10" s="1" t="s">
        <v>54</v>
      </c>
      <c r="AY10" s="1" t="s">
        <v>69</v>
      </c>
      <c r="AZ10" s="1" t="s">
        <v>74</v>
      </c>
      <c r="BA10" s="1" t="s">
        <v>76</v>
      </c>
      <c r="BB10" s="1" t="s">
        <v>58</v>
      </c>
      <c r="BC10" s="1" t="s">
        <v>59</v>
      </c>
      <c r="BD10" s="1" t="s">
        <v>60</v>
      </c>
    </row>
    <row r="11" spans="1:56" ht="14.25">
      <c r="A11" s="1">
        <f t="shared" si="0"/>
        <v>10002</v>
      </c>
      <c r="B11" s="1">
        <v>0</v>
      </c>
      <c r="C11" s="1">
        <v>0</v>
      </c>
      <c r="D11" s="1">
        <v>1</v>
      </c>
      <c r="E11" s="1">
        <f t="shared" si="1"/>
        <v>4</v>
      </c>
      <c r="F11" s="1">
        <v>0</v>
      </c>
      <c r="G11" s="1">
        <f t="shared" si="2"/>
        <v>33</v>
      </c>
      <c r="H11" s="1">
        <v>20</v>
      </c>
      <c r="I11" s="1">
        <v>0</v>
      </c>
      <c r="J11" s="1">
        <f t="shared" si="3"/>
        <v>3</v>
      </c>
      <c r="K11" s="1">
        <v>0</v>
      </c>
      <c r="M11" s="1">
        <v>0</v>
      </c>
      <c r="N11" s="1">
        <v>11</v>
      </c>
      <c r="O11" s="1">
        <v>0</v>
      </c>
      <c r="P11" s="1"/>
      <c r="Q11" s="1">
        <v>0</v>
      </c>
      <c r="R11" s="1"/>
      <c r="S11" s="1">
        <v>0</v>
      </c>
      <c r="T11" s="1"/>
      <c r="U11" s="1">
        <v>0</v>
      </c>
      <c r="W11" s="1">
        <v>0</v>
      </c>
      <c r="X11" s="1">
        <v>0</v>
      </c>
      <c r="Y11" s="1">
        <v>0</v>
      </c>
      <c r="Z11" s="1">
        <v>0</v>
      </c>
      <c r="AB11" s="1">
        <v>0</v>
      </c>
      <c r="AC11" s="1">
        <v>0</v>
      </c>
      <c r="AD11" s="1">
        <v>0</v>
      </c>
      <c r="AL11" s="1">
        <v>0</v>
      </c>
      <c r="AQ11" s="1">
        <v>0</v>
      </c>
      <c r="AT11" s="1">
        <v>0</v>
      </c>
      <c r="AU11" s="1">
        <v>20</v>
      </c>
      <c r="AV11" s="1" t="s">
        <v>68</v>
      </c>
      <c r="AW11" s="1" t="s">
        <v>974</v>
      </c>
      <c r="AX11" s="1" t="s">
        <v>54</v>
      </c>
      <c r="AY11" s="1" t="s">
        <v>77</v>
      </c>
      <c r="AZ11" s="1" t="s">
        <v>74</v>
      </c>
      <c r="BA11" s="1" t="s">
        <v>78</v>
      </c>
      <c r="BB11" s="1" t="s">
        <v>58</v>
      </c>
      <c r="BC11" s="1" t="s">
        <v>59</v>
      </c>
      <c r="BD11" s="1" t="s">
        <v>60</v>
      </c>
    </row>
    <row r="12" spans="1:56" ht="14.25">
      <c r="A12" s="1">
        <f t="shared" si="0"/>
        <v>10003</v>
      </c>
      <c r="B12" s="1">
        <v>1</v>
      </c>
      <c r="C12" s="1">
        <v>0</v>
      </c>
      <c r="D12" s="1">
        <v>1</v>
      </c>
      <c r="E12" s="1">
        <f t="shared" si="1"/>
        <v>0</v>
      </c>
      <c r="F12" s="1">
        <v>0</v>
      </c>
      <c r="G12" s="1">
        <f t="shared" si="2"/>
        <v>23</v>
      </c>
      <c r="H12" s="1">
        <v>20</v>
      </c>
      <c r="I12" s="1">
        <v>0</v>
      </c>
      <c r="J12" s="1">
        <f t="shared" si="3"/>
        <v>1</v>
      </c>
      <c r="K12" s="1">
        <v>0</v>
      </c>
      <c r="M12" s="1">
        <v>0</v>
      </c>
      <c r="N12" s="1">
        <v>6</v>
      </c>
      <c r="O12" s="1">
        <v>0</v>
      </c>
      <c r="P12" s="1"/>
      <c r="Q12" s="1">
        <v>0</v>
      </c>
      <c r="R12" s="1"/>
      <c r="S12" s="1">
        <v>0</v>
      </c>
      <c r="T12" s="1"/>
      <c r="U12" s="1">
        <v>0</v>
      </c>
      <c r="W12" s="1">
        <v>0</v>
      </c>
      <c r="X12" s="1">
        <v>0</v>
      </c>
      <c r="Y12" s="1">
        <v>0</v>
      </c>
      <c r="Z12" s="1">
        <v>0</v>
      </c>
      <c r="AB12" s="1">
        <v>0</v>
      </c>
      <c r="AC12" s="1">
        <v>0</v>
      </c>
      <c r="AD12" s="1">
        <v>0</v>
      </c>
      <c r="AL12" s="1">
        <v>0</v>
      </c>
      <c r="AQ12" s="1">
        <v>0</v>
      </c>
      <c r="AT12" s="1">
        <v>0</v>
      </c>
      <c r="AU12" s="1">
        <v>10</v>
      </c>
      <c r="AV12" s="1" t="s">
        <v>79</v>
      </c>
      <c r="AW12" s="1" t="s">
        <v>972</v>
      </c>
      <c r="AX12" s="1" t="s">
        <v>54</v>
      </c>
      <c r="AY12" s="1" t="s">
        <v>80</v>
      </c>
      <c r="AZ12" s="1" t="s">
        <v>81</v>
      </c>
      <c r="BA12" s="1" t="s">
        <v>82</v>
      </c>
      <c r="BB12" s="1" t="s">
        <v>58</v>
      </c>
      <c r="BC12" s="1" t="s">
        <v>59</v>
      </c>
      <c r="BD12" s="1" t="s">
        <v>60</v>
      </c>
    </row>
    <row r="13" spans="1:56" ht="14.25">
      <c r="A13" s="1">
        <f t="shared" si="0"/>
        <v>10003</v>
      </c>
      <c r="B13" s="1">
        <v>1</v>
      </c>
      <c r="C13" s="1">
        <v>0</v>
      </c>
      <c r="D13" s="1">
        <v>1</v>
      </c>
      <c r="E13" s="1">
        <f t="shared" si="1"/>
        <v>1</v>
      </c>
      <c r="F13" s="1">
        <v>0</v>
      </c>
      <c r="G13" s="1">
        <f t="shared" si="2"/>
        <v>26</v>
      </c>
      <c r="H13" s="1">
        <v>20</v>
      </c>
      <c r="I13" s="1">
        <v>0</v>
      </c>
      <c r="J13" s="1">
        <f t="shared" si="3"/>
        <v>1</v>
      </c>
      <c r="K13" s="1">
        <v>0</v>
      </c>
      <c r="M13" s="1">
        <v>0</v>
      </c>
      <c r="N13" s="1">
        <v>6</v>
      </c>
      <c r="O13" s="1">
        <v>0</v>
      </c>
      <c r="P13" s="1"/>
      <c r="Q13" s="1">
        <v>0</v>
      </c>
      <c r="R13" s="1"/>
      <c r="S13" s="1">
        <v>0</v>
      </c>
      <c r="T13" s="1"/>
      <c r="U13" s="1">
        <v>0</v>
      </c>
      <c r="W13" s="1">
        <v>0</v>
      </c>
      <c r="X13" s="1">
        <v>0</v>
      </c>
      <c r="Y13" s="1">
        <v>0</v>
      </c>
      <c r="Z13" s="1">
        <v>0</v>
      </c>
      <c r="AB13" s="1">
        <v>0</v>
      </c>
      <c r="AC13" s="1">
        <v>0</v>
      </c>
      <c r="AD13" s="1">
        <v>0</v>
      </c>
      <c r="AL13" s="1">
        <v>0</v>
      </c>
      <c r="AQ13" s="1">
        <v>0</v>
      </c>
      <c r="AT13" s="1">
        <v>0</v>
      </c>
      <c r="AU13" s="1">
        <v>10</v>
      </c>
      <c r="AV13" s="1" t="s">
        <v>79</v>
      </c>
      <c r="AW13" s="1" t="s">
        <v>84</v>
      </c>
      <c r="AX13" s="1" t="s">
        <v>54</v>
      </c>
      <c r="AY13" s="1" t="s">
        <v>80</v>
      </c>
      <c r="AZ13" s="1" t="s">
        <v>81</v>
      </c>
      <c r="BA13" s="1" t="s">
        <v>83</v>
      </c>
      <c r="BB13" s="1" t="s">
        <v>58</v>
      </c>
      <c r="BC13" s="1" t="s">
        <v>59</v>
      </c>
      <c r="BD13" s="1" t="s">
        <v>60</v>
      </c>
    </row>
    <row r="14" spans="1:56" ht="14.25">
      <c r="A14" s="1">
        <f t="shared" si="0"/>
        <v>10003</v>
      </c>
      <c r="B14" s="1">
        <v>1</v>
      </c>
      <c r="C14" s="1">
        <v>0</v>
      </c>
      <c r="D14" s="1">
        <v>1</v>
      </c>
      <c r="E14" s="1">
        <f t="shared" si="1"/>
        <v>2</v>
      </c>
      <c r="F14" s="1">
        <v>0</v>
      </c>
      <c r="G14" s="1">
        <f t="shared" si="2"/>
        <v>28</v>
      </c>
      <c r="H14" s="1">
        <v>20</v>
      </c>
      <c r="I14" s="1">
        <v>0</v>
      </c>
      <c r="J14" s="1">
        <f t="shared" si="3"/>
        <v>1</v>
      </c>
      <c r="K14" s="1">
        <v>0</v>
      </c>
      <c r="M14" s="1">
        <v>0</v>
      </c>
      <c r="N14" s="1">
        <v>11</v>
      </c>
      <c r="O14" s="1">
        <v>0</v>
      </c>
      <c r="P14" s="1"/>
      <c r="Q14" s="1">
        <v>0</v>
      </c>
      <c r="R14" s="1"/>
      <c r="S14" s="1">
        <v>0</v>
      </c>
      <c r="T14" s="1"/>
      <c r="U14" s="1">
        <v>0</v>
      </c>
      <c r="W14" s="1">
        <v>0</v>
      </c>
      <c r="X14" s="1">
        <v>0</v>
      </c>
      <c r="Y14" s="1">
        <v>0</v>
      </c>
      <c r="Z14" s="1">
        <v>0</v>
      </c>
      <c r="AB14" s="1">
        <v>0</v>
      </c>
      <c r="AC14" s="1">
        <v>0</v>
      </c>
      <c r="AD14" s="1">
        <v>0</v>
      </c>
      <c r="AL14" s="1">
        <v>0</v>
      </c>
      <c r="AQ14" s="1">
        <v>0</v>
      </c>
      <c r="AT14" s="1">
        <v>0</v>
      </c>
      <c r="AU14" s="1">
        <v>15</v>
      </c>
      <c r="AV14" s="1" t="s">
        <v>79</v>
      </c>
      <c r="AW14" s="1" t="s">
        <v>86</v>
      </c>
      <c r="AX14" s="1" t="s">
        <v>54</v>
      </c>
      <c r="AY14" s="1" t="s">
        <v>80</v>
      </c>
      <c r="AZ14" s="1" t="s">
        <v>85</v>
      </c>
      <c r="BA14" s="1" t="s">
        <v>83</v>
      </c>
      <c r="BB14" s="1" t="s">
        <v>58</v>
      </c>
      <c r="BC14" s="1" t="s">
        <v>59</v>
      </c>
      <c r="BD14" s="1" t="s">
        <v>60</v>
      </c>
    </row>
    <row r="15" spans="1:56" ht="14.25">
      <c r="A15" s="1">
        <f t="shared" si="0"/>
        <v>10003</v>
      </c>
      <c r="B15" s="1">
        <v>1</v>
      </c>
      <c r="C15" s="1">
        <v>0</v>
      </c>
      <c r="D15" s="1">
        <v>1</v>
      </c>
      <c r="E15" s="1">
        <f t="shared" si="1"/>
        <v>3</v>
      </c>
      <c r="F15" s="1">
        <v>0</v>
      </c>
      <c r="G15" s="1">
        <f t="shared" si="2"/>
        <v>31</v>
      </c>
      <c r="H15" s="1">
        <v>20</v>
      </c>
      <c r="I15" s="1">
        <v>0</v>
      </c>
      <c r="J15" s="1">
        <f t="shared" si="3"/>
        <v>1</v>
      </c>
      <c r="K15" s="1">
        <v>0</v>
      </c>
      <c r="M15" s="1">
        <v>0</v>
      </c>
      <c r="N15" s="1">
        <v>11</v>
      </c>
      <c r="O15" s="1">
        <v>0</v>
      </c>
      <c r="P15" s="1"/>
      <c r="Q15" s="1">
        <v>0</v>
      </c>
      <c r="R15" s="1"/>
      <c r="S15" s="1">
        <v>0</v>
      </c>
      <c r="T15" s="1"/>
      <c r="U15" s="1">
        <v>0</v>
      </c>
      <c r="W15" s="1">
        <v>0</v>
      </c>
      <c r="X15" s="1">
        <v>0</v>
      </c>
      <c r="Y15" s="1">
        <v>0</v>
      </c>
      <c r="Z15" s="1">
        <v>0</v>
      </c>
      <c r="AB15" s="1">
        <v>0</v>
      </c>
      <c r="AC15" s="1">
        <v>0</v>
      </c>
      <c r="AD15" s="1">
        <v>0</v>
      </c>
      <c r="AL15" s="1">
        <v>0</v>
      </c>
      <c r="AQ15" s="1">
        <v>0</v>
      </c>
      <c r="AT15" s="1">
        <v>0</v>
      </c>
      <c r="AU15" s="1">
        <v>17</v>
      </c>
      <c r="AV15" s="1" t="s">
        <v>79</v>
      </c>
      <c r="AW15" s="1" t="s">
        <v>978</v>
      </c>
      <c r="AX15" s="1" t="s">
        <v>54</v>
      </c>
      <c r="AY15" s="1" t="s">
        <v>80</v>
      </c>
      <c r="AZ15" s="1" t="s">
        <v>85</v>
      </c>
      <c r="BA15" s="1" t="s">
        <v>87</v>
      </c>
      <c r="BB15" s="1" t="s">
        <v>58</v>
      </c>
      <c r="BC15" s="1" t="s">
        <v>59</v>
      </c>
      <c r="BD15" s="1" t="s">
        <v>60</v>
      </c>
    </row>
    <row r="16" spans="1:56" ht="14.25">
      <c r="A16" s="1">
        <f t="shared" si="0"/>
        <v>10003</v>
      </c>
      <c r="B16" s="1">
        <v>1</v>
      </c>
      <c r="C16" s="1">
        <v>0</v>
      </c>
      <c r="D16" s="1">
        <v>1</v>
      </c>
      <c r="E16" s="1">
        <f t="shared" si="1"/>
        <v>4</v>
      </c>
      <c r="F16" s="1">
        <v>0</v>
      </c>
      <c r="G16" s="1">
        <f t="shared" si="2"/>
        <v>33</v>
      </c>
      <c r="H16" s="1">
        <v>20</v>
      </c>
      <c r="I16" s="1">
        <v>0</v>
      </c>
      <c r="J16" s="1">
        <f t="shared" si="3"/>
        <v>3</v>
      </c>
      <c r="K16" s="1">
        <v>0</v>
      </c>
      <c r="M16" s="1">
        <v>0</v>
      </c>
      <c r="N16" s="1">
        <v>11</v>
      </c>
      <c r="O16" s="1">
        <v>0</v>
      </c>
      <c r="P16" s="1"/>
      <c r="Q16" s="1">
        <v>0</v>
      </c>
      <c r="R16" s="1"/>
      <c r="S16" s="1">
        <v>0</v>
      </c>
      <c r="T16" s="1"/>
      <c r="U16" s="1">
        <v>0</v>
      </c>
      <c r="W16" s="1">
        <v>0</v>
      </c>
      <c r="X16" s="1">
        <v>0</v>
      </c>
      <c r="Y16" s="1">
        <v>0</v>
      </c>
      <c r="Z16" s="1">
        <v>0</v>
      </c>
      <c r="AB16" s="1">
        <v>0</v>
      </c>
      <c r="AC16" s="1">
        <v>0</v>
      </c>
      <c r="AD16" s="1">
        <v>0</v>
      </c>
      <c r="AL16" s="1">
        <v>0</v>
      </c>
      <c r="AQ16" s="1">
        <v>0</v>
      </c>
      <c r="AT16" s="1">
        <v>0</v>
      </c>
      <c r="AU16" s="1">
        <v>20</v>
      </c>
      <c r="AV16" s="1" t="s">
        <v>79</v>
      </c>
      <c r="AW16" s="1" t="s">
        <v>975</v>
      </c>
      <c r="AX16" s="1" t="s">
        <v>54</v>
      </c>
      <c r="AY16" s="1" t="s">
        <v>88</v>
      </c>
      <c r="AZ16" s="1" t="s">
        <v>85</v>
      </c>
      <c r="BA16" s="1" t="s">
        <v>89</v>
      </c>
      <c r="BB16" s="1" t="s">
        <v>58</v>
      </c>
      <c r="BC16" s="1" t="s">
        <v>59</v>
      </c>
      <c r="BD16" s="1" t="s">
        <v>60</v>
      </c>
    </row>
    <row r="17" spans="1:56" ht="14.25">
      <c r="A17" s="1">
        <f t="shared" si="0"/>
        <v>10004</v>
      </c>
      <c r="B17" s="1">
        <v>0</v>
      </c>
      <c r="C17" s="1">
        <v>0</v>
      </c>
      <c r="D17" s="1">
        <v>1</v>
      </c>
      <c r="E17" s="1">
        <f t="shared" si="1"/>
        <v>0</v>
      </c>
      <c r="F17" s="1">
        <v>0</v>
      </c>
      <c r="G17" s="1">
        <f t="shared" si="2"/>
        <v>23</v>
      </c>
      <c r="H17" s="1">
        <v>20</v>
      </c>
      <c r="I17" s="1">
        <v>0</v>
      </c>
      <c r="J17" s="1">
        <v>0</v>
      </c>
      <c r="K17" s="1">
        <v>0</v>
      </c>
      <c r="M17" s="1">
        <v>5</v>
      </c>
      <c r="N17" s="1">
        <v>0</v>
      </c>
      <c r="O17" s="1">
        <v>0</v>
      </c>
      <c r="P17" s="1"/>
      <c r="Q17" s="1">
        <v>4</v>
      </c>
      <c r="R17" s="1"/>
      <c r="S17" s="1">
        <v>0</v>
      </c>
      <c r="T17" s="1"/>
      <c r="U17" s="1">
        <v>0</v>
      </c>
      <c r="W17" s="1">
        <v>0</v>
      </c>
      <c r="X17" s="1">
        <v>0</v>
      </c>
      <c r="Y17" s="1">
        <v>0</v>
      </c>
      <c r="Z17" s="1">
        <v>0</v>
      </c>
      <c r="AB17" s="1">
        <v>0</v>
      </c>
      <c r="AC17" s="1">
        <v>0</v>
      </c>
      <c r="AD17" s="1">
        <v>0</v>
      </c>
      <c r="AL17" s="1">
        <v>0</v>
      </c>
      <c r="AQ17" s="1">
        <v>0</v>
      </c>
      <c r="AT17" s="1">
        <v>0</v>
      </c>
      <c r="AU17" s="1">
        <v>10</v>
      </c>
      <c r="AV17" s="1" t="s">
        <v>90</v>
      </c>
      <c r="AW17" s="1" t="s">
        <v>971</v>
      </c>
      <c r="AX17" s="1" t="s">
        <v>54</v>
      </c>
      <c r="AY17" s="1" t="s">
        <v>91</v>
      </c>
      <c r="AZ17" s="1" t="s">
        <v>92</v>
      </c>
      <c r="BA17" s="1" t="s">
        <v>71</v>
      </c>
      <c r="BB17" s="1" t="s">
        <v>58</v>
      </c>
      <c r="BC17" s="1" t="s">
        <v>59</v>
      </c>
      <c r="BD17" s="1" t="s">
        <v>60</v>
      </c>
    </row>
    <row r="18" spans="1:56" ht="14.25">
      <c r="A18" s="1">
        <f t="shared" si="0"/>
        <v>10004</v>
      </c>
      <c r="B18" s="1">
        <v>0</v>
      </c>
      <c r="C18" s="1">
        <v>0</v>
      </c>
      <c r="D18" s="1">
        <v>1</v>
      </c>
      <c r="E18" s="1">
        <f t="shared" si="1"/>
        <v>1</v>
      </c>
      <c r="F18" s="1">
        <v>0</v>
      </c>
      <c r="G18" s="1">
        <f t="shared" si="2"/>
        <v>26</v>
      </c>
      <c r="H18" s="1">
        <v>20</v>
      </c>
      <c r="I18" s="1">
        <v>0</v>
      </c>
      <c r="J18" s="1">
        <v>0</v>
      </c>
      <c r="K18" s="1">
        <v>0</v>
      </c>
      <c r="M18" s="1">
        <v>5</v>
      </c>
      <c r="N18" s="1">
        <v>0</v>
      </c>
      <c r="O18" s="1">
        <v>0</v>
      </c>
      <c r="P18" s="1"/>
      <c r="Q18" s="1">
        <v>4</v>
      </c>
      <c r="R18" s="1"/>
      <c r="S18" s="1">
        <v>0</v>
      </c>
      <c r="T18" s="1"/>
      <c r="U18" s="1">
        <v>0</v>
      </c>
      <c r="W18" s="1">
        <v>0</v>
      </c>
      <c r="X18" s="1">
        <v>0</v>
      </c>
      <c r="Y18" s="1">
        <v>0</v>
      </c>
      <c r="Z18" s="1">
        <v>0</v>
      </c>
      <c r="AB18" s="1">
        <v>0</v>
      </c>
      <c r="AC18" s="1">
        <v>0</v>
      </c>
      <c r="AD18" s="1">
        <v>0</v>
      </c>
      <c r="AL18" s="1">
        <v>0</v>
      </c>
      <c r="AQ18" s="1">
        <v>0</v>
      </c>
      <c r="AT18" s="1">
        <v>0</v>
      </c>
      <c r="AU18" s="1">
        <v>10</v>
      </c>
      <c r="AV18" s="1" t="s">
        <v>90</v>
      </c>
      <c r="AW18" s="1" t="s">
        <v>73</v>
      </c>
      <c r="AX18" s="1" t="s">
        <v>54</v>
      </c>
      <c r="AY18" s="1" t="s">
        <v>91</v>
      </c>
      <c r="AZ18" s="1" t="s">
        <v>92</v>
      </c>
      <c r="BA18" s="1" t="s">
        <v>72</v>
      </c>
      <c r="BB18" s="1" t="s">
        <v>58</v>
      </c>
      <c r="BC18" s="1" t="s">
        <v>59</v>
      </c>
      <c r="BD18" s="1" t="s">
        <v>60</v>
      </c>
    </row>
    <row r="19" spans="1:56" ht="14.25">
      <c r="A19" s="1">
        <f t="shared" si="0"/>
        <v>10004</v>
      </c>
      <c r="B19" s="1">
        <v>0</v>
      </c>
      <c r="C19" s="1">
        <v>0</v>
      </c>
      <c r="D19" s="1">
        <v>1</v>
      </c>
      <c r="E19" s="1">
        <f t="shared" si="1"/>
        <v>2</v>
      </c>
      <c r="F19" s="1">
        <v>0</v>
      </c>
      <c r="G19" s="1">
        <f t="shared" si="2"/>
        <v>28</v>
      </c>
      <c r="H19" s="1">
        <v>20</v>
      </c>
      <c r="I19" s="1">
        <v>0</v>
      </c>
      <c r="J19" s="1">
        <v>0</v>
      </c>
      <c r="K19" s="1">
        <v>0</v>
      </c>
      <c r="M19" s="1">
        <v>5</v>
      </c>
      <c r="N19" s="1">
        <v>0</v>
      </c>
      <c r="O19" s="1">
        <v>0</v>
      </c>
      <c r="P19" s="1"/>
      <c r="Q19" s="1">
        <v>7</v>
      </c>
      <c r="R19" s="1"/>
      <c r="S19" s="1">
        <v>0</v>
      </c>
      <c r="T19" s="1"/>
      <c r="U19" s="1">
        <v>0</v>
      </c>
      <c r="W19" s="1">
        <v>0</v>
      </c>
      <c r="X19" s="1">
        <v>0</v>
      </c>
      <c r="Y19" s="1">
        <v>0</v>
      </c>
      <c r="Z19" s="1">
        <v>0</v>
      </c>
      <c r="AB19" s="1">
        <v>0</v>
      </c>
      <c r="AC19" s="1">
        <v>0</v>
      </c>
      <c r="AD19" s="1">
        <v>0</v>
      </c>
      <c r="AL19" s="1">
        <v>0</v>
      </c>
      <c r="AQ19" s="1">
        <v>0</v>
      </c>
      <c r="AT19" s="1">
        <v>0</v>
      </c>
      <c r="AU19" s="1">
        <v>15</v>
      </c>
      <c r="AV19" s="1" t="s">
        <v>90</v>
      </c>
      <c r="AW19" s="1" t="s">
        <v>75</v>
      </c>
      <c r="AX19" s="1" t="s">
        <v>54</v>
      </c>
      <c r="AY19" s="1" t="s">
        <v>91</v>
      </c>
      <c r="AZ19" s="1" t="s">
        <v>93</v>
      </c>
      <c r="BA19" s="1" t="s">
        <v>72</v>
      </c>
      <c r="BB19" s="1" t="s">
        <v>58</v>
      </c>
      <c r="BC19" s="1" t="s">
        <v>59</v>
      </c>
      <c r="BD19" s="1" t="s">
        <v>60</v>
      </c>
    </row>
    <row r="20" spans="1:56" ht="14.25">
      <c r="A20" s="1">
        <f t="shared" si="0"/>
        <v>10004</v>
      </c>
      <c r="B20" s="1">
        <v>0</v>
      </c>
      <c r="C20" s="1">
        <v>0</v>
      </c>
      <c r="D20" s="1">
        <v>1</v>
      </c>
      <c r="E20" s="1">
        <f t="shared" si="1"/>
        <v>3</v>
      </c>
      <c r="F20" s="1">
        <v>0</v>
      </c>
      <c r="G20" s="1">
        <f t="shared" si="2"/>
        <v>31</v>
      </c>
      <c r="H20" s="1">
        <v>20</v>
      </c>
      <c r="I20" s="1">
        <v>0</v>
      </c>
      <c r="J20" s="1">
        <v>0</v>
      </c>
      <c r="K20" s="1">
        <v>0</v>
      </c>
      <c r="M20" s="1">
        <v>5</v>
      </c>
      <c r="N20" s="1">
        <v>0</v>
      </c>
      <c r="O20" s="1">
        <v>0</v>
      </c>
      <c r="P20" s="1"/>
      <c r="Q20" s="1">
        <v>7</v>
      </c>
      <c r="R20" s="1"/>
      <c r="S20" s="1">
        <v>0</v>
      </c>
      <c r="T20" s="1"/>
      <c r="U20" s="1">
        <v>0</v>
      </c>
      <c r="W20" s="1">
        <v>0</v>
      </c>
      <c r="X20" s="1">
        <v>0</v>
      </c>
      <c r="Y20" s="1">
        <v>0</v>
      </c>
      <c r="Z20" s="1">
        <v>0</v>
      </c>
      <c r="AB20" s="1">
        <v>0</v>
      </c>
      <c r="AC20" s="1">
        <v>0</v>
      </c>
      <c r="AD20" s="1">
        <v>0</v>
      </c>
      <c r="AL20" s="1">
        <v>0</v>
      </c>
      <c r="AQ20" s="1">
        <v>0</v>
      </c>
      <c r="AT20" s="1">
        <v>0</v>
      </c>
      <c r="AU20" s="1">
        <v>17</v>
      </c>
      <c r="AV20" s="1" t="s">
        <v>90</v>
      </c>
      <c r="AW20" s="1" t="s">
        <v>977</v>
      </c>
      <c r="AX20" s="1" t="s">
        <v>54</v>
      </c>
      <c r="AY20" s="1" t="s">
        <v>91</v>
      </c>
      <c r="AZ20" s="1" t="s">
        <v>93</v>
      </c>
      <c r="BA20" s="1" t="s">
        <v>76</v>
      </c>
      <c r="BB20" s="1" t="s">
        <v>58</v>
      </c>
      <c r="BC20" s="1" t="s">
        <v>59</v>
      </c>
      <c r="BD20" s="1" t="s">
        <v>60</v>
      </c>
    </row>
    <row r="21" spans="1:56" ht="15.75" customHeight="1">
      <c r="A21" s="1">
        <f t="shared" si="0"/>
        <v>10004</v>
      </c>
      <c r="B21" s="1">
        <v>0</v>
      </c>
      <c r="C21" s="1">
        <v>0</v>
      </c>
      <c r="D21" s="1">
        <v>1</v>
      </c>
      <c r="E21" s="1">
        <f t="shared" si="1"/>
        <v>4</v>
      </c>
      <c r="F21" s="1">
        <v>0</v>
      </c>
      <c r="G21" s="1">
        <f t="shared" si="2"/>
        <v>33</v>
      </c>
      <c r="H21" s="1">
        <v>20</v>
      </c>
      <c r="I21" s="1">
        <v>0</v>
      </c>
      <c r="J21" s="1">
        <v>0</v>
      </c>
      <c r="K21" s="1">
        <v>0</v>
      </c>
      <c r="M21" s="1">
        <v>9</v>
      </c>
      <c r="N21" s="1">
        <v>0</v>
      </c>
      <c r="O21" s="1">
        <v>0</v>
      </c>
      <c r="P21" s="1"/>
      <c r="Q21" s="1">
        <v>7</v>
      </c>
      <c r="R21" s="1"/>
      <c r="S21" s="1">
        <v>0</v>
      </c>
      <c r="T21" s="1"/>
      <c r="U21" s="1">
        <v>0</v>
      </c>
      <c r="W21" s="1">
        <v>0</v>
      </c>
      <c r="X21" s="1">
        <v>0</v>
      </c>
      <c r="Y21" s="1">
        <v>0</v>
      </c>
      <c r="Z21" s="1">
        <v>0</v>
      </c>
      <c r="AB21" s="1">
        <v>0</v>
      </c>
      <c r="AC21" s="1">
        <v>0</v>
      </c>
      <c r="AD21" s="1">
        <v>0</v>
      </c>
      <c r="AL21" s="1">
        <v>0</v>
      </c>
      <c r="AQ21" s="1">
        <v>0</v>
      </c>
      <c r="AT21" s="1">
        <v>0</v>
      </c>
      <c r="AU21" s="1">
        <v>20</v>
      </c>
      <c r="AV21" s="1" t="s">
        <v>90</v>
      </c>
      <c r="AW21" s="1" t="s">
        <v>974</v>
      </c>
      <c r="AX21" s="1" t="s">
        <v>54</v>
      </c>
      <c r="AY21" s="1" t="s">
        <v>94</v>
      </c>
      <c r="AZ21" s="1" t="s">
        <v>93</v>
      </c>
      <c r="BA21" s="1" t="s">
        <v>78</v>
      </c>
      <c r="BB21" s="1" t="s">
        <v>58</v>
      </c>
      <c r="BC21" s="1" t="s">
        <v>59</v>
      </c>
      <c r="BD21" s="1" t="s">
        <v>60</v>
      </c>
    </row>
    <row r="22" spans="1:56" ht="15.75" customHeight="1">
      <c r="A22" s="1">
        <f t="shared" si="0"/>
        <v>10005</v>
      </c>
      <c r="B22" s="1">
        <v>2</v>
      </c>
      <c r="C22" s="1">
        <v>0</v>
      </c>
      <c r="D22" s="1">
        <v>1</v>
      </c>
      <c r="E22" s="1">
        <f t="shared" si="1"/>
        <v>0</v>
      </c>
      <c r="F22" s="1">
        <v>0</v>
      </c>
      <c r="G22" s="1">
        <f t="shared" si="2"/>
        <v>23</v>
      </c>
      <c r="H22" s="1">
        <v>20</v>
      </c>
      <c r="I22" s="1">
        <v>0</v>
      </c>
      <c r="J22" s="1">
        <v>0</v>
      </c>
      <c r="K22" s="1">
        <v>0</v>
      </c>
      <c r="M22" s="1">
        <v>5</v>
      </c>
      <c r="N22" s="1">
        <v>0</v>
      </c>
      <c r="O22" s="1">
        <v>4</v>
      </c>
      <c r="P22" s="1"/>
      <c r="Q22" s="1">
        <v>0</v>
      </c>
      <c r="R22" s="1"/>
      <c r="S22" s="1">
        <v>0</v>
      </c>
      <c r="T22" s="1"/>
      <c r="U22" s="1">
        <v>0</v>
      </c>
      <c r="W22" s="1">
        <v>0</v>
      </c>
      <c r="X22" s="1">
        <v>0</v>
      </c>
      <c r="Y22" s="1">
        <v>0</v>
      </c>
      <c r="Z22" s="1">
        <v>0</v>
      </c>
      <c r="AB22" s="1">
        <v>0</v>
      </c>
      <c r="AC22" s="1">
        <v>0</v>
      </c>
      <c r="AD22" s="1">
        <v>0</v>
      </c>
      <c r="AL22" s="1">
        <v>0</v>
      </c>
      <c r="AQ22" s="1">
        <v>0</v>
      </c>
      <c r="AT22" s="1">
        <v>0</v>
      </c>
      <c r="AU22" s="1">
        <v>10</v>
      </c>
      <c r="AV22" s="1" t="s">
        <v>95</v>
      </c>
      <c r="AW22" s="1" t="s">
        <v>970</v>
      </c>
      <c r="AX22" s="1" t="s">
        <v>54</v>
      </c>
      <c r="AY22" s="1" t="s">
        <v>96</v>
      </c>
      <c r="AZ22" s="1" t="s">
        <v>97</v>
      </c>
      <c r="BA22" s="1" t="s">
        <v>57</v>
      </c>
      <c r="BB22" s="1" t="s">
        <v>58</v>
      </c>
      <c r="BC22" s="1" t="s">
        <v>59</v>
      </c>
      <c r="BD22" s="1" t="s">
        <v>60</v>
      </c>
    </row>
    <row r="23" spans="1:56" ht="15.75" customHeight="1">
      <c r="A23" s="1">
        <f t="shared" si="0"/>
        <v>10005</v>
      </c>
      <c r="B23" s="1">
        <v>2</v>
      </c>
      <c r="C23" s="1">
        <v>0</v>
      </c>
      <c r="D23" s="1">
        <v>1</v>
      </c>
      <c r="E23" s="1">
        <f t="shared" si="1"/>
        <v>1</v>
      </c>
      <c r="F23" s="1">
        <v>0</v>
      </c>
      <c r="G23" s="1">
        <f t="shared" si="2"/>
        <v>26</v>
      </c>
      <c r="H23" s="1">
        <v>20</v>
      </c>
      <c r="I23" s="1">
        <v>0</v>
      </c>
      <c r="J23" s="1">
        <v>0</v>
      </c>
      <c r="K23" s="1">
        <v>0</v>
      </c>
      <c r="M23" s="1">
        <v>5</v>
      </c>
      <c r="N23" s="1">
        <v>0</v>
      </c>
      <c r="O23" s="1">
        <v>4</v>
      </c>
      <c r="P23" s="1"/>
      <c r="Q23" s="1">
        <v>0</v>
      </c>
      <c r="R23" s="1"/>
      <c r="S23" s="1">
        <v>0</v>
      </c>
      <c r="T23" s="1"/>
      <c r="U23" s="1">
        <v>0</v>
      </c>
      <c r="W23" s="1">
        <v>0</v>
      </c>
      <c r="X23" s="1">
        <v>0</v>
      </c>
      <c r="Y23" s="1">
        <v>0</v>
      </c>
      <c r="Z23" s="1">
        <v>0</v>
      </c>
      <c r="AB23" s="1">
        <v>0</v>
      </c>
      <c r="AC23" s="1">
        <v>0</v>
      </c>
      <c r="AD23" s="1">
        <v>0</v>
      </c>
      <c r="AL23" s="1">
        <v>0</v>
      </c>
      <c r="AQ23" s="1">
        <v>0</v>
      </c>
      <c r="AT23" s="1">
        <v>0</v>
      </c>
      <c r="AU23" s="1">
        <v>10</v>
      </c>
      <c r="AV23" s="1" t="s">
        <v>95</v>
      </c>
      <c r="AW23" s="1" t="s">
        <v>62</v>
      </c>
      <c r="AX23" s="1" t="s">
        <v>54</v>
      </c>
      <c r="AY23" s="1" t="s">
        <v>96</v>
      </c>
      <c r="AZ23" s="1" t="s">
        <v>97</v>
      </c>
      <c r="BA23" s="1" t="s">
        <v>61</v>
      </c>
      <c r="BB23" s="1" t="s">
        <v>58</v>
      </c>
      <c r="BC23" s="1" t="s">
        <v>59</v>
      </c>
      <c r="BD23" s="1" t="s">
        <v>60</v>
      </c>
    </row>
    <row r="24" spans="1:56" ht="15.75" customHeight="1">
      <c r="A24" s="1">
        <f t="shared" si="0"/>
        <v>10005</v>
      </c>
      <c r="B24" s="1">
        <v>2</v>
      </c>
      <c r="C24" s="1">
        <v>0</v>
      </c>
      <c r="D24" s="1">
        <v>1</v>
      </c>
      <c r="E24" s="1">
        <f t="shared" si="1"/>
        <v>2</v>
      </c>
      <c r="F24" s="1">
        <v>0</v>
      </c>
      <c r="G24" s="1">
        <f t="shared" si="2"/>
        <v>28</v>
      </c>
      <c r="H24" s="1">
        <v>20</v>
      </c>
      <c r="I24" s="1">
        <v>0</v>
      </c>
      <c r="J24" s="1">
        <v>0</v>
      </c>
      <c r="K24" s="1">
        <v>0</v>
      </c>
      <c r="M24" s="1">
        <v>5</v>
      </c>
      <c r="N24" s="1">
        <v>0</v>
      </c>
      <c r="O24" s="1">
        <v>8</v>
      </c>
      <c r="P24" s="1"/>
      <c r="Q24" s="1">
        <v>0</v>
      </c>
      <c r="R24" s="1"/>
      <c r="S24" s="1">
        <v>0</v>
      </c>
      <c r="T24" s="1"/>
      <c r="U24" s="1">
        <v>0</v>
      </c>
      <c r="W24" s="1">
        <v>0</v>
      </c>
      <c r="X24" s="1">
        <v>0</v>
      </c>
      <c r="Y24" s="1">
        <v>0</v>
      </c>
      <c r="Z24" s="1">
        <v>0</v>
      </c>
      <c r="AB24" s="1">
        <v>0</v>
      </c>
      <c r="AC24" s="1">
        <v>0</v>
      </c>
      <c r="AD24" s="1">
        <v>0</v>
      </c>
      <c r="AL24" s="1">
        <v>0</v>
      </c>
      <c r="AQ24" s="1">
        <v>0</v>
      </c>
      <c r="AT24" s="1">
        <v>0</v>
      </c>
      <c r="AU24" s="1">
        <v>15</v>
      </c>
      <c r="AV24" s="1" t="s">
        <v>95</v>
      </c>
      <c r="AW24" s="1" t="s">
        <v>64</v>
      </c>
      <c r="AX24" s="1" t="s">
        <v>54</v>
      </c>
      <c r="AY24" s="1" t="s">
        <v>96</v>
      </c>
      <c r="AZ24" s="1" t="s">
        <v>98</v>
      </c>
      <c r="BA24" s="1" t="s">
        <v>61</v>
      </c>
      <c r="BB24" s="1" t="s">
        <v>58</v>
      </c>
      <c r="BC24" s="1" t="s">
        <v>59</v>
      </c>
      <c r="BD24" s="1" t="s">
        <v>60</v>
      </c>
    </row>
    <row r="25" spans="1:56" ht="15.75" customHeight="1">
      <c r="A25" s="1">
        <f t="shared" si="0"/>
        <v>10005</v>
      </c>
      <c r="B25" s="1">
        <v>2</v>
      </c>
      <c r="C25" s="1">
        <v>0</v>
      </c>
      <c r="D25" s="1">
        <v>1</v>
      </c>
      <c r="E25" s="1">
        <f t="shared" si="1"/>
        <v>3</v>
      </c>
      <c r="F25" s="1">
        <v>0</v>
      </c>
      <c r="G25" s="1">
        <f t="shared" si="2"/>
        <v>31</v>
      </c>
      <c r="H25" s="1">
        <v>20</v>
      </c>
      <c r="I25" s="1">
        <v>0</v>
      </c>
      <c r="J25" s="1">
        <v>0</v>
      </c>
      <c r="K25" s="1">
        <v>0</v>
      </c>
      <c r="M25" s="1">
        <v>5</v>
      </c>
      <c r="N25" s="1">
        <v>0</v>
      </c>
      <c r="O25" s="1">
        <v>8</v>
      </c>
      <c r="P25" s="1"/>
      <c r="Q25" s="1">
        <v>0</v>
      </c>
      <c r="R25" s="1"/>
      <c r="S25" s="1">
        <v>0</v>
      </c>
      <c r="T25" s="1"/>
      <c r="U25" s="1">
        <v>0</v>
      </c>
      <c r="W25" s="1">
        <v>0</v>
      </c>
      <c r="X25" s="1">
        <v>0</v>
      </c>
      <c r="Y25" s="1">
        <v>0</v>
      </c>
      <c r="Z25" s="1">
        <v>0</v>
      </c>
      <c r="AB25" s="1">
        <v>0</v>
      </c>
      <c r="AC25" s="1">
        <v>0</v>
      </c>
      <c r="AD25" s="1">
        <v>0</v>
      </c>
      <c r="AL25" s="1">
        <v>0</v>
      </c>
      <c r="AQ25" s="1">
        <v>0</v>
      </c>
      <c r="AT25" s="1">
        <v>0</v>
      </c>
      <c r="AU25" s="1">
        <v>17</v>
      </c>
      <c r="AV25" s="1" t="s">
        <v>95</v>
      </c>
      <c r="AW25" s="1" t="s">
        <v>976</v>
      </c>
      <c r="AX25" s="1" t="s">
        <v>54</v>
      </c>
      <c r="AY25" s="1" t="s">
        <v>96</v>
      </c>
      <c r="AZ25" s="1" t="s">
        <v>98</v>
      </c>
      <c r="BA25" s="1" t="s">
        <v>65</v>
      </c>
      <c r="BB25" s="1" t="s">
        <v>58</v>
      </c>
      <c r="BC25" s="1" t="s">
        <v>59</v>
      </c>
      <c r="BD25" s="1" t="s">
        <v>60</v>
      </c>
    </row>
    <row r="26" spans="1:56" ht="15.75" customHeight="1">
      <c r="A26" s="1">
        <f t="shared" si="0"/>
        <v>10005</v>
      </c>
      <c r="B26" s="1">
        <v>2</v>
      </c>
      <c r="C26" s="1">
        <v>0</v>
      </c>
      <c r="D26" s="1">
        <v>1</v>
      </c>
      <c r="E26" s="1">
        <f t="shared" si="1"/>
        <v>4</v>
      </c>
      <c r="F26" s="1">
        <v>0</v>
      </c>
      <c r="G26" s="1">
        <f t="shared" si="2"/>
        <v>33</v>
      </c>
      <c r="H26" s="1">
        <v>20</v>
      </c>
      <c r="I26" s="1">
        <v>0</v>
      </c>
      <c r="J26" s="1">
        <v>0</v>
      </c>
      <c r="K26" s="1">
        <v>0</v>
      </c>
      <c r="M26" s="1">
        <v>9</v>
      </c>
      <c r="N26" s="1">
        <v>0</v>
      </c>
      <c r="O26" s="1">
        <v>8</v>
      </c>
      <c r="P26" s="1"/>
      <c r="Q26" s="1">
        <v>0</v>
      </c>
      <c r="R26" s="1"/>
      <c r="S26" s="1">
        <v>0</v>
      </c>
      <c r="T26" s="1"/>
      <c r="U26" s="1">
        <v>0</v>
      </c>
      <c r="W26" s="1">
        <v>0</v>
      </c>
      <c r="X26" s="1">
        <v>0</v>
      </c>
      <c r="Y26" s="1">
        <v>0</v>
      </c>
      <c r="Z26" s="1">
        <v>0</v>
      </c>
      <c r="AB26" s="1">
        <v>0</v>
      </c>
      <c r="AC26" s="1">
        <v>0</v>
      </c>
      <c r="AD26" s="1">
        <v>0</v>
      </c>
      <c r="AL26" s="1">
        <v>0</v>
      </c>
      <c r="AQ26" s="1">
        <v>0</v>
      </c>
      <c r="AT26" s="1">
        <v>0</v>
      </c>
      <c r="AU26" s="1">
        <v>20</v>
      </c>
      <c r="AV26" s="1" t="s">
        <v>95</v>
      </c>
      <c r="AW26" s="1" t="s">
        <v>973</v>
      </c>
      <c r="AX26" s="1" t="s">
        <v>54</v>
      </c>
      <c r="AY26" s="1" t="s">
        <v>99</v>
      </c>
      <c r="AZ26" s="1" t="s">
        <v>98</v>
      </c>
      <c r="BA26" s="1" t="s">
        <v>67</v>
      </c>
      <c r="BB26" s="1" t="s">
        <v>58</v>
      </c>
      <c r="BC26" s="1" t="s">
        <v>59</v>
      </c>
      <c r="BD26" s="1" t="s">
        <v>60</v>
      </c>
    </row>
    <row r="27" spans="1:56" ht="15.75" customHeight="1">
      <c r="A27" s="1">
        <f t="shared" si="0"/>
        <v>10006</v>
      </c>
      <c r="B27" s="1">
        <v>1</v>
      </c>
      <c r="C27" s="1">
        <v>0</v>
      </c>
      <c r="D27" s="1">
        <v>1</v>
      </c>
      <c r="E27" s="1">
        <f t="shared" si="1"/>
        <v>0</v>
      </c>
      <c r="F27" s="1">
        <v>0</v>
      </c>
      <c r="G27" s="1">
        <f t="shared" si="2"/>
        <v>23</v>
      </c>
      <c r="H27" s="1">
        <v>20</v>
      </c>
      <c r="I27" s="1">
        <v>0</v>
      </c>
      <c r="J27" s="1">
        <v>0</v>
      </c>
      <c r="K27" s="1">
        <v>0</v>
      </c>
      <c r="M27" s="1">
        <v>5</v>
      </c>
      <c r="N27" s="1">
        <v>0</v>
      </c>
      <c r="O27" s="1">
        <v>4</v>
      </c>
      <c r="P27" s="1"/>
      <c r="Q27" s="1">
        <v>0</v>
      </c>
      <c r="R27" s="1"/>
      <c r="S27" s="1">
        <v>0</v>
      </c>
      <c r="T27" s="1"/>
      <c r="U27" s="1">
        <v>0</v>
      </c>
      <c r="W27" s="1">
        <v>0</v>
      </c>
      <c r="X27" s="1">
        <v>0</v>
      </c>
      <c r="Y27" s="1">
        <v>0</v>
      </c>
      <c r="Z27" s="1">
        <v>0</v>
      </c>
      <c r="AB27" s="1">
        <v>0</v>
      </c>
      <c r="AC27" s="1">
        <v>0</v>
      </c>
      <c r="AD27" s="1">
        <v>0</v>
      </c>
      <c r="AL27" s="1">
        <v>0</v>
      </c>
      <c r="AQ27" s="1">
        <v>0</v>
      </c>
      <c r="AT27" s="1">
        <v>0</v>
      </c>
      <c r="AU27" s="1">
        <v>10</v>
      </c>
      <c r="AV27" s="1" t="s">
        <v>100</v>
      </c>
      <c r="AW27" s="1" t="s">
        <v>972</v>
      </c>
      <c r="AX27" s="1" t="s">
        <v>54</v>
      </c>
      <c r="AY27" s="1" t="s">
        <v>101</v>
      </c>
      <c r="AZ27" s="1" t="s">
        <v>102</v>
      </c>
      <c r="BA27" s="1" t="s">
        <v>82</v>
      </c>
      <c r="BB27" s="1" t="s">
        <v>58</v>
      </c>
      <c r="BC27" s="1" t="s">
        <v>59</v>
      </c>
      <c r="BD27" s="1" t="s">
        <v>60</v>
      </c>
    </row>
    <row r="28" spans="1:56" ht="15.75" customHeight="1">
      <c r="A28" s="1">
        <f t="shared" si="0"/>
        <v>10006</v>
      </c>
      <c r="B28" s="1">
        <v>1</v>
      </c>
      <c r="C28" s="1">
        <v>0</v>
      </c>
      <c r="D28" s="1">
        <v>1</v>
      </c>
      <c r="E28" s="1">
        <f t="shared" si="1"/>
        <v>1</v>
      </c>
      <c r="F28" s="1">
        <v>0</v>
      </c>
      <c r="G28" s="1">
        <f t="shared" si="2"/>
        <v>26</v>
      </c>
      <c r="H28" s="1">
        <v>20</v>
      </c>
      <c r="I28" s="1">
        <v>0</v>
      </c>
      <c r="J28" s="1">
        <v>0</v>
      </c>
      <c r="K28" s="1">
        <v>0</v>
      </c>
      <c r="M28" s="1">
        <v>5</v>
      </c>
      <c r="N28" s="1">
        <v>0</v>
      </c>
      <c r="O28" s="1">
        <v>4</v>
      </c>
      <c r="P28" s="1"/>
      <c r="Q28" s="1">
        <v>0</v>
      </c>
      <c r="R28" s="1"/>
      <c r="S28" s="1">
        <v>0</v>
      </c>
      <c r="T28" s="1"/>
      <c r="U28" s="1">
        <v>0</v>
      </c>
      <c r="W28" s="1">
        <v>0</v>
      </c>
      <c r="X28" s="1">
        <v>0</v>
      </c>
      <c r="Y28" s="1">
        <v>0</v>
      </c>
      <c r="Z28" s="1">
        <v>0</v>
      </c>
      <c r="AB28" s="1">
        <v>0</v>
      </c>
      <c r="AC28" s="1">
        <v>0</v>
      </c>
      <c r="AD28" s="1">
        <v>0</v>
      </c>
      <c r="AL28" s="1">
        <v>0</v>
      </c>
      <c r="AQ28" s="1">
        <v>0</v>
      </c>
      <c r="AT28" s="1">
        <v>0</v>
      </c>
      <c r="AU28" s="1">
        <v>10</v>
      </c>
      <c r="AV28" s="1" t="s">
        <v>100</v>
      </c>
      <c r="AW28" s="1" t="s">
        <v>84</v>
      </c>
      <c r="AX28" s="1" t="s">
        <v>54</v>
      </c>
      <c r="AY28" s="1" t="s">
        <v>101</v>
      </c>
      <c r="AZ28" s="1" t="s">
        <v>102</v>
      </c>
      <c r="BA28" s="1" t="s">
        <v>83</v>
      </c>
      <c r="BB28" s="1" t="s">
        <v>58</v>
      </c>
      <c r="BC28" s="1" t="s">
        <v>59</v>
      </c>
      <c r="BD28" s="1" t="s">
        <v>60</v>
      </c>
    </row>
    <row r="29" spans="1:56" ht="15.75" customHeight="1">
      <c r="A29" s="1">
        <f t="shared" si="0"/>
        <v>10006</v>
      </c>
      <c r="B29" s="1">
        <v>1</v>
      </c>
      <c r="C29" s="1">
        <v>0</v>
      </c>
      <c r="D29" s="1">
        <v>1</v>
      </c>
      <c r="E29" s="1">
        <f t="shared" si="1"/>
        <v>2</v>
      </c>
      <c r="F29" s="1">
        <v>0</v>
      </c>
      <c r="G29" s="1">
        <f t="shared" si="2"/>
        <v>28</v>
      </c>
      <c r="H29" s="1">
        <v>20</v>
      </c>
      <c r="I29" s="1">
        <v>0</v>
      </c>
      <c r="J29" s="1">
        <v>0</v>
      </c>
      <c r="K29" s="1">
        <v>0</v>
      </c>
      <c r="M29" s="1">
        <v>5</v>
      </c>
      <c r="N29" s="1">
        <v>0</v>
      </c>
      <c r="O29" s="1">
        <v>8</v>
      </c>
      <c r="P29" s="1"/>
      <c r="Q29" s="1">
        <v>0</v>
      </c>
      <c r="R29" s="1"/>
      <c r="S29" s="1">
        <v>0</v>
      </c>
      <c r="T29" s="1"/>
      <c r="U29" s="1">
        <v>0</v>
      </c>
      <c r="W29" s="1">
        <v>0</v>
      </c>
      <c r="X29" s="1">
        <v>0</v>
      </c>
      <c r="Y29" s="1">
        <v>0</v>
      </c>
      <c r="Z29" s="1">
        <v>0</v>
      </c>
      <c r="AB29" s="1">
        <v>0</v>
      </c>
      <c r="AC29" s="1">
        <v>0</v>
      </c>
      <c r="AD29" s="1">
        <v>0</v>
      </c>
      <c r="AL29" s="1">
        <v>0</v>
      </c>
      <c r="AQ29" s="1">
        <v>0</v>
      </c>
      <c r="AT29" s="1">
        <v>0</v>
      </c>
      <c r="AU29" s="1">
        <v>15</v>
      </c>
      <c r="AV29" s="1" t="s">
        <v>100</v>
      </c>
      <c r="AW29" s="1" t="s">
        <v>86</v>
      </c>
      <c r="AX29" s="1" t="s">
        <v>54</v>
      </c>
      <c r="AY29" s="1" t="s">
        <v>101</v>
      </c>
      <c r="AZ29" s="1" t="s">
        <v>103</v>
      </c>
      <c r="BA29" s="1" t="s">
        <v>83</v>
      </c>
      <c r="BB29" s="1" t="s">
        <v>58</v>
      </c>
      <c r="BC29" s="1" t="s">
        <v>59</v>
      </c>
      <c r="BD29" s="1" t="s">
        <v>60</v>
      </c>
    </row>
    <row r="30" spans="1:56" ht="15.75" customHeight="1">
      <c r="A30" s="1">
        <f t="shared" si="0"/>
        <v>10006</v>
      </c>
      <c r="B30" s="1">
        <v>1</v>
      </c>
      <c r="C30" s="1">
        <v>0</v>
      </c>
      <c r="D30" s="1">
        <v>1</v>
      </c>
      <c r="E30" s="1">
        <f t="shared" si="1"/>
        <v>3</v>
      </c>
      <c r="F30" s="1">
        <v>0</v>
      </c>
      <c r="G30" s="1">
        <f t="shared" si="2"/>
        <v>31</v>
      </c>
      <c r="H30" s="1">
        <v>20</v>
      </c>
      <c r="I30" s="1">
        <v>0</v>
      </c>
      <c r="J30" s="1">
        <v>0</v>
      </c>
      <c r="K30" s="1">
        <v>0</v>
      </c>
      <c r="M30" s="1">
        <v>5</v>
      </c>
      <c r="N30" s="1">
        <v>0</v>
      </c>
      <c r="O30" s="1">
        <v>8</v>
      </c>
      <c r="P30" s="1"/>
      <c r="Q30" s="1">
        <v>0</v>
      </c>
      <c r="R30" s="1"/>
      <c r="S30" s="1">
        <v>0</v>
      </c>
      <c r="T30" s="1"/>
      <c r="U30" s="1">
        <v>0</v>
      </c>
      <c r="W30" s="1">
        <v>0</v>
      </c>
      <c r="X30" s="1">
        <v>0</v>
      </c>
      <c r="Y30" s="1">
        <v>0</v>
      </c>
      <c r="Z30" s="1">
        <v>0</v>
      </c>
      <c r="AB30" s="1">
        <v>0</v>
      </c>
      <c r="AC30" s="1">
        <v>0</v>
      </c>
      <c r="AD30" s="1">
        <v>0</v>
      </c>
      <c r="AL30" s="1">
        <v>0</v>
      </c>
      <c r="AQ30" s="1">
        <v>0</v>
      </c>
      <c r="AT30" s="1">
        <v>0</v>
      </c>
      <c r="AU30" s="1">
        <v>17</v>
      </c>
      <c r="AV30" s="1" t="s">
        <v>100</v>
      </c>
      <c r="AW30" s="1" t="s">
        <v>978</v>
      </c>
      <c r="AX30" s="1" t="s">
        <v>54</v>
      </c>
      <c r="AY30" s="1" t="s">
        <v>101</v>
      </c>
      <c r="AZ30" s="1" t="s">
        <v>103</v>
      </c>
      <c r="BA30" s="1" t="s">
        <v>87</v>
      </c>
      <c r="BB30" s="1" t="s">
        <v>58</v>
      </c>
      <c r="BC30" s="1" t="s">
        <v>59</v>
      </c>
      <c r="BD30" s="1" t="s">
        <v>60</v>
      </c>
    </row>
    <row r="31" spans="1:56" ht="15.75" customHeight="1">
      <c r="A31" s="1">
        <f t="shared" si="0"/>
        <v>10006</v>
      </c>
      <c r="B31" s="1">
        <v>1</v>
      </c>
      <c r="C31" s="1">
        <v>0</v>
      </c>
      <c r="D31" s="1">
        <v>1</v>
      </c>
      <c r="E31" s="1">
        <f t="shared" si="1"/>
        <v>4</v>
      </c>
      <c r="F31" s="1">
        <v>0</v>
      </c>
      <c r="G31" s="1">
        <f t="shared" si="2"/>
        <v>33</v>
      </c>
      <c r="H31" s="1">
        <v>20</v>
      </c>
      <c r="I31" s="1">
        <v>0</v>
      </c>
      <c r="J31" s="1">
        <v>0</v>
      </c>
      <c r="K31" s="1">
        <v>0</v>
      </c>
      <c r="M31" s="1">
        <v>9</v>
      </c>
      <c r="N31" s="1">
        <v>0</v>
      </c>
      <c r="O31" s="1">
        <v>8</v>
      </c>
      <c r="P31" s="1"/>
      <c r="Q31" s="1">
        <v>0</v>
      </c>
      <c r="R31" s="1"/>
      <c r="S31" s="1">
        <v>0</v>
      </c>
      <c r="T31" s="1"/>
      <c r="U31" s="1">
        <v>0</v>
      </c>
      <c r="W31" s="1">
        <v>0</v>
      </c>
      <c r="X31" s="1">
        <v>0</v>
      </c>
      <c r="Y31" s="1">
        <v>0</v>
      </c>
      <c r="Z31" s="1">
        <v>0</v>
      </c>
      <c r="AB31" s="1">
        <v>0</v>
      </c>
      <c r="AC31" s="1">
        <v>0</v>
      </c>
      <c r="AD31" s="1">
        <v>0</v>
      </c>
      <c r="AL31" s="1">
        <v>0</v>
      </c>
      <c r="AQ31" s="1">
        <v>0</v>
      </c>
      <c r="AT31" s="1">
        <v>0</v>
      </c>
      <c r="AU31" s="1">
        <v>20</v>
      </c>
      <c r="AV31" s="1" t="s">
        <v>100</v>
      </c>
      <c r="AW31" s="1" t="s">
        <v>975</v>
      </c>
      <c r="AX31" s="1" t="s">
        <v>54</v>
      </c>
      <c r="AY31" s="1" t="s">
        <v>104</v>
      </c>
      <c r="AZ31" s="1" t="s">
        <v>103</v>
      </c>
      <c r="BA31" s="1" t="s">
        <v>89</v>
      </c>
      <c r="BB31" s="1" t="s">
        <v>58</v>
      </c>
      <c r="BC31" s="1" t="s">
        <v>59</v>
      </c>
      <c r="BD31" s="1" t="s">
        <v>60</v>
      </c>
    </row>
    <row r="32" spans="1:56" ht="15.75" customHeight="1">
      <c r="A32" s="1">
        <f t="shared" si="0"/>
        <v>10007</v>
      </c>
      <c r="B32" s="1">
        <v>1</v>
      </c>
      <c r="C32" s="1">
        <v>0</v>
      </c>
      <c r="D32" s="1">
        <v>1</v>
      </c>
      <c r="E32" s="1">
        <f t="shared" si="1"/>
        <v>0</v>
      </c>
      <c r="F32" s="1">
        <v>0</v>
      </c>
      <c r="G32" s="1">
        <v>0</v>
      </c>
      <c r="H32" s="1">
        <v>20</v>
      </c>
      <c r="I32" s="1">
        <v>2.8000000000000001E-2</v>
      </c>
      <c r="J32" s="1">
        <v>1</v>
      </c>
      <c r="K32" s="1">
        <v>0</v>
      </c>
      <c r="M32" s="1">
        <v>0</v>
      </c>
      <c r="N32" s="1">
        <v>0</v>
      </c>
      <c r="O32" s="1">
        <v>0</v>
      </c>
      <c r="P32" s="1"/>
      <c r="Q32" s="1">
        <v>4</v>
      </c>
      <c r="R32" s="1"/>
      <c r="S32" s="1">
        <v>0</v>
      </c>
      <c r="T32" s="1"/>
      <c r="U32" s="1">
        <v>0</v>
      </c>
      <c r="W32" s="1">
        <v>0</v>
      </c>
      <c r="X32" s="1">
        <v>0</v>
      </c>
      <c r="Y32" s="1">
        <v>0</v>
      </c>
      <c r="Z32" s="1">
        <v>0</v>
      </c>
      <c r="AB32" s="1">
        <v>0</v>
      </c>
      <c r="AC32" s="1">
        <v>0</v>
      </c>
      <c r="AD32" s="1">
        <v>0</v>
      </c>
      <c r="AL32" s="1">
        <v>0</v>
      </c>
      <c r="AQ32" s="1">
        <v>0</v>
      </c>
      <c r="AT32" s="1">
        <v>0</v>
      </c>
      <c r="AU32" s="1">
        <v>10</v>
      </c>
      <c r="AV32" s="1" t="s">
        <v>105</v>
      </c>
      <c r="AW32" s="1" t="s">
        <v>106</v>
      </c>
      <c r="AX32" s="1" t="s">
        <v>54</v>
      </c>
      <c r="AY32" s="1" t="s">
        <v>80</v>
      </c>
      <c r="AZ32" s="1" t="s">
        <v>107</v>
      </c>
      <c r="BA32" s="1" t="s">
        <v>82</v>
      </c>
      <c r="BB32" s="1" t="s">
        <v>58</v>
      </c>
      <c r="BC32" s="1" t="s">
        <v>59</v>
      </c>
      <c r="BD32" s="1" t="s">
        <v>60</v>
      </c>
    </row>
    <row r="33" spans="1:56" ht="15.75" customHeight="1">
      <c r="A33" s="1">
        <f t="shared" si="0"/>
        <v>10007</v>
      </c>
      <c r="B33" s="1">
        <v>1</v>
      </c>
      <c r="C33" s="1">
        <v>0</v>
      </c>
      <c r="D33" s="1">
        <v>1</v>
      </c>
      <c r="E33" s="1">
        <f t="shared" si="1"/>
        <v>1</v>
      </c>
      <c r="F33" s="1">
        <v>0</v>
      </c>
      <c r="G33" s="1">
        <v>0</v>
      </c>
      <c r="H33" s="1">
        <v>20</v>
      </c>
      <c r="I33" s="1">
        <v>3.2000000000000001E-2</v>
      </c>
      <c r="J33" s="1">
        <v>1</v>
      </c>
      <c r="K33" s="1">
        <v>0</v>
      </c>
      <c r="M33" s="1">
        <v>0</v>
      </c>
      <c r="N33" s="1">
        <v>0</v>
      </c>
      <c r="O33" s="1">
        <v>0</v>
      </c>
      <c r="P33" s="1"/>
      <c r="Q33" s="1">
        <v>4</v>
      </c>
      <c r="R33" s="1"/>
      <c r="S33" s="1">
        <v>0</v>
      </c>
      <c r="T33" s="1"/>
      <c r="U33" s="1">
        <v>0</v>
      </c>
      <c r="W33" s="1">
        <v>0</v>
      </c>
      <c r="X33" s="1">
        <v>0</v>
      </c>
      <c r="Y33" s="1">
        <v>0</v>
      </c>
      <c r="Z33" s="1">
        <v>0</v>
      </c>
      <c r="AB33" s="1">
        <v>0</v>
      </c>
      <c r="AC33" s="1">
        <v>0</v>
      </c>
      <c r="AD33" s="1">
        <v>0</v>
      </c>
      <c r="AL33" s="1">
        <v>0</v>
      </c>
      <c r="AQ33" s="1">
        <v>0</v>
      </c>
      <c r="AT33" s="1">
        <v>0</v>
      </c>
      <c r="AU33" s="1">
        <v>10</v>
      </c>
      <c r="AV33" s="1" t="s">
        <v>105</v>
      </c>
      <c r="AW33" s="1" t="s">
        <v>108</v>
      </c>
      <c r="AX33" s="1" t="s">
        <v>54</v>
      </c>
      <c r="AY33" s="1" t="s">
        <v>80</v>
      </c>
      <c r="AZ33" s="1" t="s">
        <v>107</v>
      </c>
      <c r="BA33" s="1" t="s">
        <v>83</v>
      </c>
      <c r="BB33" s="1" t="s">
        <v>58</v>
      </c>
      <c r="BC33" s="1" t="s">
        <v>59</v>
      </c>
      <c r="BD33" s="1" t="s">
        <v>60</v>
      </c>
    </row>
    <row r="34" spans="1:56" ht="15.75" customHeight="1">
      <c r="A34" s="1">
        <f t="shared" si="0"/>
        <v>10007</v>
      </c>
      <c r="B34" s="1">
        <v>1</v>
      </c>
      <c r="C34" s="1">
        <v>0</v>
      </c>
      <c r="D34" s="1">
        <v>1</v>
      </c>
      <c r="E34" s="1">
        <f t="shared" si="1"/>
        <v>2</v>
      </c>
      <c r="F34" s="1">
        <v>0</v>
      </c>
      <c r="G34" s="1">
        <v>0</v>
      </c>
      <c r="H34" s="1">
        <v>20</v>
      </c>
      <c r="I34" s="1">
        <v>3.5999999999999997E-2</v>
      </c>
      <c r="J34" s="1">
        <v>1</v>
      </c>
      <c r="K34" s="1">
        <v>0</v>
      </c>
      <c r="M34" s="1">
        <v>0</v>
      </c>
      <c r="N34" s="1">
        <v>0</v>
      </c>
      <c r="O34" s="1">
        <v>0</v>
      </c>
      <c r="P34" s="1"/>
      <c r="Q34" s="1">
        <v>7</v>
      </c>
      <c r="R34" s="1"/>
      <c r="S34" s="1">
        <v>0</v>
      </c>
      <c r="T34" s="1"/>
      <c r="U34" s="1">
        <v>0</v>
      </c>
      <c r="W34" s="1">
        <v>0</v>
      </c>
      <c r="X34" s="1">
        <v>0</v>
      </c>
      <c r="Y34" s="1">
        <v>0</v>
      </c>
      <c r="Z34" s="1">
        <v>0</v>
      </c>
      <c r="AB34" s="1">
        <v>0</v>
      </c>
      <c r="AC34" s="1">
        <v>0</v>
      </c>
      <c r="AD34" s="1">
        <v>0</v>
      </c>
      <c r="AL34" s="1">
        <v>0</v>
      </c>
      <c r="AQ34" s="1">
        <v>0</v>
      </c>
      <c r="AT34" s="1">
        <v>0</v>
      </c>
      <c r="AU34" s="1">
        <v>15</v>
      </c>
      <c r="AV34" s="1" t="s">
        <v>105</v>
      </c>
      <c r="AW34" s="1" t="s">
        <v>109</v>
      </c>
      <c r="AX34" s="1" t="s">
        <v>54</v>
      </c>
      <c r="AY34" s="1" t="s">
        <v>80</v>
      </c>
      <c r="AZ34" s="1" t="s">
        <v>110</v>
      </c>
      <c r="BA34" s="1" t="s">
        <v>83</v>
      </c>
      <c r="BB34" s="1" t="s">
        <v>58</v>
      </c>
      <c r="BC34" s="1" t="s">
        <v>59</v>
      </c>
      <c r="BD34" s="1" t="s">
        <v>60</v>
      </c>
    </row>
    <row r="35" spans="1:56" ht="15.75" customHeight="1">
      <c r="A35" s="1">
        <f t="shared" si="0"/>
        <v>10007</v>
      </c>
      <c r="B35" s="1">
        <v>1</v>
      </c>
      <c r="C35" s="1">
        <v>0</v>
      </c>
      <c r="D35" s="1">
        <v>1</v>
      </c>
      <c r="E35" s="1">
        <f t="shared" si="1"/>
        <v>3</v>
      </c>
      <c r="F35" s="1">
        <v>0</v>
      </c>
      <c r="G35" s="1">
        <v>0</v>
      </c>
      <c r="H35" s="1">
        <v>20</v>
      </c>
      <c r="I35" s="1">
        <v>0.04</v>
      </c>
      <c r="J35" s="1">
        <v>1</v>
      </c>
      <c r="K35" s="1">
        <v>0</v>
      </c>
      <c r="M35" s="1">
        <v>0</v>
      </c>
      <c r="N35" s="1">
        <v>0</v>
      </c>
      <c r="O35" s="1">
        <v>0</v>
      </c>
      <c r="P35" s="1"/>
      <c r="Q35" s="1">
        <v>7</v>
      </c>
      <c r="R35" s="1"/>
      <c r="S35" s="1">
        <v>0</v>
      </c>
      <c r="T35" s="1"/>
      <c r="U35" s="1">
        <v>0</v>
      </c>
      <c r="W35" s="1">
        <v>0</v>
      </c>
      <c r="X35" s="1">
        <v>0</v>
      </c>
      <c r="Y35" s="1">
        <v>0</v>
      </c>
      <c r="Z35" s="1">
        <v>0</v>
      </c>
      <c r="AB35" s="1">
        <v>0</v>
      </c>
      <c r="AC35" s="1">
        <v>0</v>
      </c>
      <c r="AD35" s="1">
        <v>0</v>
      </c>
      <c r="AL35" s="1">
        <v>0</v>
      </c>
      <c r="AQ35" s="1">
        <v>0</v>
      </c>
      <c r="AT35" s="1">
        <v>0</v>
      </c>
      <c r="AU35" s="1">
        <v>17</v>
      </c>
      <c r="AV35" s="1" t="s">
        <v>105</v>
      </c>
      <c r="AW35" s="1" t="s">
        <v>111</v>
      </c>
      <c r="AX35" s="1" t="s">
        <v>54</v>
      </c>
      <c r="AY35" s="1" t="s">
        <v>80</v>
      </c>
      <c r="AZ35" s="1" t="s">
        <v>110</v>
      </c>
      <c r="BA35" s="1" t="s">
        <v>87</v>
      </c>
      <c r="BB35" s="1" t="s">
        <v>58</v>
      </c>
      <c r="BC35" s="1" t="s">
        <v>59</v>
      </c>
      <c r="BD35" s="1" t="s">
        <v>60</v>
      </c>
    </row>
    <row r="36" spans="1:56" ht="15.75" customHeight="1">
      <c r="A36" s="1">
        <f t="shared" si="0"/>
        <v>10007</v>
      </c>
      <c r="B36" s="1">
        <v>1</v>
      </c>
      <c r="C36" s="1">
        <v>0</v>
      </c>
      <c r="D36" s="1">
        <v>1</v>
      </c>
      <c r="E36" s="1">
        <f t="shared" si="1"/>
        <v>4</v>
      </c>
      <c r="F36" s="1">
        <v>0</v>
      </c>
      <c r="G36" s="1">
        <v>0</v>
      </c>
      <c r="H36" s="1">
        <v>20</v>
      </c>
      <c r="I36" s="1">
        <v>4.2999999999999997E-2</v>
      </c>
      <c r="J36" s="1">
        <v>3</v>
      </c>
      <c r="K36" s="1">
        <v>0</v>
      </c>
      <c r="M36" s="1">
        <v>0</v>
      </c>
      <c r="N36" s="1">
        <v>0</v>
      </c>
      <c r="O36" s="1">
        <v>0</v>
      </c>
      <c r="P36" s="1"/>
      <c r="Q36" s="1">
        <v>7</v>
      </c>
      <c r="R36" s="1"/>
      <c r="S36" s="1">
        <v>0</v>
      </c>
      <c r="T36" s="1"/>
      <c r="U36" s="1">
        <v>0</v>
      </c>
      <c r="W36" s="1">
        <v>0</v>
      </c>
      <c r="X36" s="1">
        <v>0</v>
      </c>
      <c r="Y36" s="1">
        <v>0</v>
      </c>
      <c r="Z36" s="1">
        <v>0</v>
      </c>
      <c r="AB36" s="1">
        <v>0</v>
      </c>
      <c r="AC36" s="1">
        <v>0</v>
      </c>
      <c r="AD36" s="1">
        <v>0</v>
      </c>
      <c r="AL36" s="1">
        <v>0</v>
      </c>
      <c r="AQ36" s="1">
        <v>0</v>
      </c>
      <c r="AT36" s="1">
        <v>0</v>
      </c>
      <c r="AU36" s="1">
        <v>20</v>
      </c>
      <c r="AV36" s="1" t="s">
        <v>105</v>
      </c>
      <c r="AW36" s="1" t="s">
        <v>112</v>
      </c>
      <c r="AX36" s="1" t="s">
        <v>54</v>
      </c>
      <c r="AY36" s="1" t="s">
        <v>88</v>
      </c>
      <c r="AZ36" s="1" t="s">
        <v>110</v>
      </c>
      <c r="BA36" s="1" t="s">
        <v>89</v>
      </c>
      <c r="BB36" s="1" t="s">
        <v>58</v>
      </c>
      <c r="BC36" s="1" t="s">
        <v>59</v>
      </c>
      <c r="BD36" s="1" t="s">
        <v>60</v>
      </c>
    </row>
    <row r="37" spans="1:56" ht="15.75" customHeight="1">
      <c r="A37" s="1">
        <f t="shared" si="0"/>
        <v>10008</v>
      </c>
      <c r="B37" s="1">
        <v>0</v>
      </c>
      <c r="C37" s="1">
        <v>0</v>
      </c>
      <c r="D37" s="1">
        <v>1</v>
      </c>
      <c r="E37" s="1">
        <f t="shared" si="1"/>
        <v>0</v>
      </c>
      <c r="F37" s="1">
        <v>0</v>
      </c>
      <c r="G37" s="1">
        <v>0</v>
      </c>
      <c r="H37" s="1">
        <v>20</v>
      </c>
      <c r="I37" s="1">
        <v>2.8000000000000001E-2</v>
      </c>
      <c r="J37" s="1">
        <f t="shared" ref="J37:J46" si="4">J32</f>
        <v>1</v>
      </c>
      <c r="K37" s="1">
        <v>0</v>
      </c>
      <c r="M37" s="1">
        <v>0</v>
      </c>
      <c r="N37" s="1">
        <v>0</v>
      </c>
      <c r="O37" s="1">
        <v>0</v>
      </c>
      <c r="P37" s="1"/>
      <c r="Q37" s="1">
        <v>0</v>
      </c>
      <c r="R37" s="1"/>
      <c r="S37" s="1">
        <v>0</v>
      </c>
      <c r="T37" s="1"/>
      <c r="U37" s="1">
        <v>2</v>
      </c>
      <c r="W37" s="1">
        <v>0</v>
      </c>
      <c r="X37" s="1">
        <v>0</v>
      </c>
      <c r="Y37" s="1">
        <v>0</v>
      </c>
      <c r="Z37" s="1">
        <v>0</v>
      </c>
      <c r="AB37" s="1">
        <v>0</v>
      </c>
      <c r="AC37" s="1">
        <v>0</v>
      </c>
      <c r="AD37" s="1">
        <v>0</v>
      </c>
      <c r="AL37" s="1">
        <v>0</v>
      </c>
      <c r="AQ37" s="1">
        <v>0</v>
      </c>
      <c r="AT37" s="1">
        <v>0</v>
      </c>
      <c r="AU37" s="1">
        <v>10</v>
      </c>
      <c r="AV37" s="1" t="s">
        <v>113</v>
      </c>
      <c r="AW37" s="1" t="s">
        <v>114</v>
      </c>
      <c r="AX37" s="1" t="s">
        <v>54</v>
      </c>
      <c r="AY37" s="1" t="s">
        <v>69</v>
      </c>
      <c r="AZ37" s="1" t="s">
        <v>115</v>
      </c>
      <c r="BA37" s="1" t="s">
        <v>71</v>
      </c>
      <c r="BB37" s="1" t="s">
        <v>58</v>
      </c>
      <c r="BC37" s="1" t="s">
        <v>59</v>
      </c>
      <c r="BD37" s="1" t="s">
        <v>60</v>
      </c>
    </row>
    <row r="38" spans="1:56" ht="15.75" customHeight="1">
      <c r="A38" s="1">
        <f t="shared" si="0"/>
        <v>10008</v>
      </c>
      <c r="B38" s="1">
        <v>0</v>
      </c>
      <c r="C38" s="1">
        <v>0</v>
      </c>
      <c r="D38" s="1">
        <v>1</v>
      </c>
      <c r="E38" s="1">
        <f t="shared" si="1"/>
        <v>1</v>
      </c>
      <c r="F38" s="1">
        <v>0</v>
      </c>
      <c r="G38" s="1">
        <v>0</v>
      </c>
      <c r="H38" s="1">
        <v>20</v>
      </c>
      <c r="I38" s="1">
        <v>3.2000000000000001E-2</v>
      </c>
      <c r="J38" s="1">
        <f t="shared" si="4"/>
        <v>1</v>
      </c>
      <c r="K38" s="1">
        <v>0</v>
      </c>
      <c r="M38" s="1">
        <v>0</v>
      </c>
      <c r="N38" s="1">
        <v>0</v>
      </c>
      <c r="O38" s="1">
        <v>0</v>
      </c>
      <c r="P38" s="1"/>
      <c r="Q38" s="1">
        <v>0</v>
      </c>
      <c r="R38" s="1"/>
      <c r="S38" s="1">
        <v>0</v>
      </c>
      <c r="T38" s="1"/>
      <c r="U38" s="1">
        <v>2</v>
      </c>
      <c r="W38" s="1">
        <v>0</v>
      </c>
      <c r="X38" s="1">
        <v>0</v>
      </c>
      <c r="Y38" s="1">
        <v>0</v>
      </c>
      <c r="Z38" s="1">
        <v>0</v>
      </c>
      <c r="AB38" s="1">
        <v>0</v>
      </c>
      <c r="AC38" s="1">
        <v>0</v>
      </c>
      <c r="AD38" s="1">
        <v>0</v>
      </c>
      <c r="AL38" s="1">
        <v>0</v>
      </c>
      <c r="AQ38" s="1">
        <v>0</v>
      </c>
      <c r="AT38" s="1">
        <v>0</v>
      </c>
      <c r="AU38" s="1">
        <v>10</v>
      </c>
      <c r="AV38" s="1" t="s">
        <v>113</v>
      </c>
      <c r="AW38" s="1" t="s">
        <v>116</v>
      </c>
      <c r="AX38" s="1" t="s">
        <v>54</v>
      </c>
      <c r="AY38" s="1" t="s">
        <v>69</v>
      </c>
      <c r="AZ38" s="1" t="s">
        <v>115</v>
      </c>
      <c r="BA38" s="1" t="s">
        <v>72</v>
      </c>
      <c r="BB38" s="1" t="s">
        <v>58</v>
      </c>
      <c r="BC38" s="1" t="s">
        <v>59</v>
      </c>
      <c r="BD38" s="1" t="s">
        <v>60</v>
      </c>
    </row>
    <row r="39" spans="1:56" ht="15.75" customHeight="1">
      <c r="A39" s="1">
        <f t="shared" si="0"/>
        <v>10008</v>
      </c>
      <c r="B39" s="1">
        <v>0</v>
      </c>
      <c r="C39" s="1">
        <v>0</v>
      </c>
      <c r="D39" s="1">
        <v>1</v>
      </c>
      <c r="E39" s="1">
        <f t="shared" si="1"/>
        <v>2</v>
      </c>
      <c r="F39" s="1">
        <v>0</v>
      </c>
      <c r="G39" s="1">
        <v>0</v>
      </c>
      <c r="H39" s="1">
        <v>20</v>
      </c>
      <c r="I39" s="1">
        <v>3.5999999999999997E-2</v>
      </c>
      <c r="J39" s="1">
        <f t="shared" si="4"/>
        <v>1</v>
      </c>
      <c r="K39" s="1">
        <v>0</v>
      </c>
      <c r="M39" s="1">
        <v>0</v>
      </c>
      <c r="N39" s="1">
        <v>0</v>
      </c>
      <c r="O39" s="1">
        <v>0</v>
      </c>
      <c r="P39" s="1"/>
      <c r="Q39" s="1">
        <v>0</v>
      </c>
      <c r="R39" s="1"/>
      <c r="S39" s="1">
        <v>0</v>
      </c>
      <c r="T39" s="1"/>
      <c r="U39" s="1">
        <v>3</v>
      </c>
      <c r="W39" s="1">
        <v>0</v>
      </c>
      <c r="X39" s="1">
        <v>0</v>
      </c>
      <c r="Y39" s="1">
        <v>0</v>
      </c>
      <c r="Z39" s="1">
        <v>0</v>
      </c>
      <c r="AB39" s="1">
        <v>0</v>
      </c>
      <c r="AC39" s="1">
        <v>0</v>
      </c>
      <c r="AD39" s="1">
        <v>0</v>
      </c>
      <c r="AL39" s="1">
        <v>0</v>
      </c>
      <c r="AQ39" s="1">
        <v>0</v>
      </c>
      <c r="AT39" s="1">
        <v>0</v>
      </c>
      <c r="AU39" s="1">
        <v>15</v>
      </c>
      <c r="AV39" s="1" t="s">
        <v>113</v>
      </c>
      <c r="AW39" s="1" t="s">
        <v>117</v>
      </c>
      <c r="AX39" s="1" t="s">
        <v>54</v>
      </c>
      <c r="AY39" s="1" t="s">
        <v>69</v>
      </c>
      <c r="AZ39" s="1" t="s">
        <v>118</v>
      </c>
      <c r="BA39" s="1" t="s">
        <v>72</v>
      </c>
      <c r="BB39" s="1" t="s">
        <v>58</v>
      </c>
      <c r="BC39" s="1" t="s">
        <v>59</v>
      </c>
      <c r="BD39" s="1" t="s">
        <v>60</v>
      </c>
    </row>
    <row r="40" spans="1:56" ht="15.75" customHeight="1">
      <c r="A40" s="1">
        <f t="shared" si="0"/>
        <v>10008</v>
      </c>
      <c r="B40" s="1">
        <v>0</v>
      </c>
      <c r="C40" s="1">
        <v>0</v>
      </c>
      <c r="D40" s="1">
        <v>1</v>
      </c>
      <c r="E40" s="1">
        <f t="shared" si="1"/>
        <v>3</v>
      </c>
      <c r="F40" s="1">
        <v>0</v>
      </c>
      <c r="G40" s="1">
        <v>0</v>
      </c>
      <c r="H40" s="1">
        <v>20</v>
      </c>
      <c r="I40" s="1">
        <v>0.04</v>
      </c>
      <c r="J40" s="1">
        <f t="shared" si="4"/>
        <v>1</v>
      </c>
      <c r="K40" s="1">
        <v>0</v>
      </c>
      <c r="M40" s="1">
        <v>0</v>
      </c>
      <c r="N40" s="1">
        <v>0</v>
      </c>
      <c r="O40" s="1">
        <v>0</v>
      </c>
      <c r="P40" s="1"/>
      <c r="Q40" s="1">
        <v>0</v>
      </c>
      <c r="R40" s="1"/>
      <c r="S40" s="1">
        <v>0</v>
      </c>
      <c r="T40" s="1"/>
      <c r="U40" s="1">
        <v>3</v>
      </c>
      <c r="W40" s="1">
        <v>0</v>
      </c>
      <c r="X40" s="1">
        <v>0</v>
      </c>
      <c r="Y40" s="1">
        <v>0</v>
      </c>
      <c r="Z40" s="1">
        <v>0</v>
      </c>
      <c r="AB40" s="1">
        <v>0</v>
      </c>
      <c r="AC40" s="1">
        <v>0</v>
      </c>
      <c r="AD40" s="1">
        <v>0</v>
      </c>
      <c r="AL40" s="1">
        <v>0</v>
      </c>
      <c r="AQ40" s="1">
        <v>0</v>
      </c>
      <c r="AT40" s="1">
        <v>0</v>
      </c>
      <c r="AU40" s="1">
        <v>17</v>
      </c>
      <c r="AV40" s="1" t="s">
        <v>113</v>
      </c>
      <c r="AW40" s="1" t="s">
        <v>119</v>
      </c>
      <c r="AX40" s="1" t="s">
        <v>54</v>
      </c>
      <c r="AY40" s="1" t="s">
        <v>69</v>
      </c>
      <c r="AZ40" s="1" t="s">
        <v>118</v>
      </c>
      <c r="BA40" s="1" t="s">
        <v>76</v>
      </c>
      <c r="BB40" s="1" t="s">
        <v>58</v>
      </c>
      <c r="BC40" s="1" t="s">
        <v>59</v>
      </c>
      <c r="BD40" s="1" t="s">
        <v>60</v>
      </c>
    </row>
    <row r="41" spans="1:56" ht="15.75" customHeight="1">
      <c r="A41" s="1">
        <f t="shared" si="0"/>
        <v>10008</v>
      </c>
      <c r="B41" s="1">
        <v>0</v>
      </c>
      <c r="C41" s="1">
        <v>0</v>
      </c>
      <c r="D41" s="1">
        <v>1</v>
      </c>
      <c r="E41" s="1">
        <f t="shared" si="1"/>
        <v>4</v>
      </c>
      <c r="F41" s="1">
        <v>0</v>
      </c>
      <c r="G41" s="1">
        <v>0</v>
      </c>
      <c r="H41" s="1">
        <v>20</v>
      </c>
      <c r="I41" s="1">
        <v>4.2999999999999997E-2</v>
      </c>
      <c r="J41" s="1">
        <f t="shared" si="4"/>
        <v>3</v>
      </c>
      <c r="K41" s="1">
        <v>0</v>
      </c>
      <c r="M41" s="1">
        <v>0</v>
      </c>
      <c r="N41" s="1">
        <v>0</v>
      </c>
      <c r="O41" s="1">
        <v>0</v>
      </c>
      <c r="P41" s="1"/>
      <c r="Q41" s="1">
        <v>0</v>
      </c>
      <c r="R41" s="1"/>
      <c r="S41" s="1">
        <v>0</v>
      </c>
      <c r="T41" s="1"/>
      <c r="U41" s="1">
        <v>3</v>
      </c>
      <c r="W41" s="1">
        <v>0</v>
      </c>
      <c r="X41" s="1">
        <v>0</v>
      </c>
      <c r="Y41" s="1">
        <v>0</v>
      </c>
      <c r="Z41" s="1">
        <v>0</v>
      </c>
      <c r="AB41" s="1">
        <v>0</v>
      </c>
      <c r="AC41" s="1">
        <v>0</v>
      </c>
      <c r="AD41" s="1">
        <v>0</v>
      </c>
      <c r="AL41" s="1">
        <v>0</v>
      </c>
      <c r="AQ41" s="1">
        <v>0</v>
      </c>
      <c r="AT41" s="1">
        <v>0</v>
      </c>
      <c r="AU41" s="1">
        <v>20</v>
      </c>
      <c r="AV41" s="1" t="s">
        <v>113</v>
      </c>
      <c r="AW41" s="1" t="s">
        <v>120</v>
      </c>
      <c r="AX41" s="1" t="s">
        <v>54</v>
      </c>
      <c r="AY41" s="1" t="s">
        <v>77</v>
      </c>
      <c r="AZ41" s="1" t="s">
        <v>118</v>
      </c>
      <c r="BA41" s="1" t="s">
        <v>78</v>
      </c>
      <c r="BB41" s="1" t="s">
        <v>58</v>
      </c>
      <c r="BC41" s="1" t="s">
        <v>59</v>
      </c>
      <c r="BD41" s="1" t="s">
        <v>60</v>
      </c>
    </row>
    <row r="42" spans="1:56" ht="15.75" customHeight="1">
      <c r="A42" s="1">
        <f t="shared" si="0"/>
        <v>10009</v>
      </c>
      <c r="B42" s="1">
        <v>2</v>
      </c>
      <c r="C42" s="1">
        <v>0</v>
      </c>
      <c r="D42" s="1">
        <v>1</v>
      </c>
      <c r="E42" s="1">
        <f t="shared" si="1"/>
        <v>0</v>
      </c>
      <c r="F42" s="1">
        <v>0</v>
      </c>
      <c r="G42" s="1">
        <v>0</v>
      </c>
      <c r="H42" s="1">
        <v>20</v>
      </c>
      <c r="I42" s="1">
        <v>2.8000000000000001E-2</v>
      </c>
      <c r="J42" s="1">
        <f t="shared" si="4"/>
        <v>1</v>
      </c>
      <c r="K42" s="1">
        <v>0</v>
      </c>
      <c r="M42" s="1">
        <v>0</v>
      </c>
      <c r="N42" s="1">
        <v>0</v>
      </c>
      <c r="O42" s="1">
        <v>0</v>
      </c>
      <c r="P42" s="1"/>
      <c r="Q42" s="1">
        <v>0</v>
      </c>
      <c r="R42" s="1"/>
      <c r="S42" s="1">
        <v>0</v>
      </c>
      <c r="T42" s="1"/>
      <c r="U42" s="1">
        <v>2</v>
      </c>
      <c r="W42" s="1">
        <v>0</v>
      </c>
      <c r="X42" s="1">
        <v>0</v>
      </c>
      <c r="Y42" s="1">
        <v>0</v>
      </c>
      <c r="Z42" s="1">
        <v>0</v>
      </c>
      <c r="AB42" s="1">
        <v>0</v>
      </c>
      <c r="AC42" s="1">
        <v>0</v>
      </c>
      <c r="AD42" s="1">
        <v>0</v>
      </c>
      <c r="AL42" s="1">
        <v>0</v>
      </c>
      <c r="AQ42" s="1">
        <v>0</v>
      </c>
      <c r="AT42" s="1">
        <v>0</v>
      </c>
      <c r="AU42" s="1">
        <v>10</v>
      </c>
      <c r="AV42" s="1" t="s">
        <v>121</v>
      </c>
      <c r="AW42" s="1" t="s">
        <v>122</v>
      </c>
      <c r="AX42" s="1" t="s">
        <v>54</v>
      </c>
      <c r="AY42" s="1" t="s">
        <v>55</v>
      </c>
      <c r="AZ42" s="1" t="s">
        <v>123</v>
      </c>
      <c r="BA42" s="1" t="s">
        <v>57</v>
      </c>
      <c r="BB42" s="1" t="s">
        <v>58</v>
      </c>
      <c r="BC42" s="1" t="s">
        <v>59</v>
      </c>
      <c r="BD42" s="1" t="s">
        <v>60</v>
      </c>
    </row>
    <row r="43" spans="1:56" ht="15.75" customHeight="1">
      <c r="A43" s="1">
        <f t="shared" si="0"/>
        <v>10009</v>
      </c>
      <c r="B43" s="1">
        <v>2</v>
      </c>
      <c r="C43" s="1">
        <v>0</v>
      </c>
      <c r="D43" s="1">
        <v>1</v>
      </c>
      <c r="E43" s="1">
        <f t="shared" si="1"/>
        <v>1</v>
      </c>
      <c r="F43" s="1">
        <v>0</v>
      </c>
      <c r="G43" s="1">
        <v>0</v>
      </c>
      <c r="H43" s="1">
        <v>20</v>
      </c>
      <c r="I43" s="1">
        <v>3.2000000000000001E-2</v>
      </c>
      <c r="J43" s="1">
        <f t="shared" si="4"/>
        <v>1</v>
      </c>
      <c r="K43" s="1">
        <v>0</v>
      </c>
      <c r="M43" s="1">
        <v>0</v>
      </c>
      <c r="N43" s="1">
        <v>0</v>
      </c>
      <c r="O43" s="1">
        <v>0</v>
      </c>
      <c r="P43" s="1"/>
      <c r="Q43" s="1">
        <v>0</v>
      </c>
      <c r="R43" s="1"/>
      <c r="S43" s="1">
        <v>0</v>
      </c>
      <c r="T43" s="1"/>
      <c r="U43" s="1">
        <v>2</v>
      </c>
      <c r="W43" s="1">
        <v>0</v>
      </c>
      <c r="X43" s="1">
        <v>0</v>
      </c>
      <c r="Y43" s="1">
        <v>0</v>
      </c>
      <c r="Z43" s="1">
        <v>0</v>
      </c>
      <c r="AB43" s="1">
        <v>0</v>
      </c>
      <c r="AC43" s="1">
        <v>0</v>
      </c>
      <c r="AD43" s="1">
        <v>0</v>
      </c>
      <c r="AL43" s="1">
        <v>0</v>
      </c>
      <c r="AQ43" s="1">
        <v>0</v>
      </c>
      <c r="AT43" s="1">
        <v>0</v>
      </c>
      <c r="AU43" s="1">
        <v>10</v>
      </c>
      <c r="AV43" s="1" t="s">
        <v>121</v>
      </c>
      <c r="AW43" s="1" t="s">
        <v>124</v>
      </c>
      <c r="AX43" s="1" t="s">
        <v>54</v>
      </c>
      <c r="AY43" s="1" t="s">
        <v>55</v>
      </c>
      <c r="AZ43" s="1" t="s">
        <v>123</v>
      </c>
      <c r="BA43" s="1" t="s">
        <v>61</v>
      </c>
      <c r="BB43" s="1" t="s">
        <v>58</v>
      </c>
      <c r="BC43" s="1" t="s">
        <v>59</v>
      </c>
      <c r="BD43" s="1" t="s">
        <v>60</v>
      </c>
    </row>
    <row r="44" spans="1:56" ht="15.75" customHeight="1">
      <c r="A44" s="1">
        <f t="shared" si="0"/>
        <v>10009</v>
      </c>
      <c r="B44" s="1">
        <v>2</v>
      </c>
      <c r="C44" s="1">
        <v>0</v>
      </c>
      <c r="D44" s="1">
        <v>1</v>
      </c>
      <c r="E44" s="1">
        <f t="shared" si="1"/>
        <v>2</v>
      </c>
      <c r="F44" s="1">
        <v>0</v>
      </c>
      <c r="G44" s="1">
        <v>0</v>
      </c>
      <c r="H44" s="1">
        <v>20</v>
      </c>
      <c r="I44" s="1">
        <v>3.5999999999999997E-2</v>
      </c>
      <c r="J44" s="1">
        <f t="shared" si="4"/>
        <v>1</v>
      </c>
      <c r="K44" s="1">
        <v>0</v>
      </c>
      <c r="M44" s="1">
        <v>0</v>
      </c>
      <c r="N44" s="1">
        <v>0</v>
      </c>
      <c r="O44" s="1">
        <v>0</v>
      </c>
      <c r="P44" s="1"/>
      <c r="Q44" s="1">
        <v>0</v>
      </c>
      <c r="R44" s="1"/>
      <c r="S44" s="1">
        <v>0</v>
      </c>
      <c r="T44" s="1"/>
      <c r="U44" s="1">
        <v>3</v>
      </c>
      <c r="W44" s="1">
        <v>0</v>
      </c>
      <c r="X44" s="1">
        <v>0</v>
      </c>
      <c r="Y44" s="1">
        <v>0</v>
      </c>
      <c r="Z44" s="1">
        <v>0</v>
      </c>
      <c r="AB44" s="1">
        <v>0</v>
      </c>
      <c r="AC44" s="1">
        <v>0</v>
      </c>
      <c r="AD44" s="1">
        <v>0</v>
      </c>
      <c r="AL44" s="1">
        <v>0</v>
      </c>
      <c r="AQ44" s="1">
        <v>0</v>
      </c>
      <c r="AT44" s="1">
        <v>0</v>
      </c>
      <c r="AU44" s="1">
        <v>15</v>
      </c>
      <c r="AV44" s="1" t="s">
        <v>121</v>
      </c>
      <c r="AW44" s="1" t="s">
        <v>125</v>
      </c>
      <c r="AX44" s="1" t="s">
        <v>54</v>
      </c>
      <c r="AY44" s="1" t="s">
        <v>55</v>
      </c>
      <c r="AZ44" s="1" t="s">
        <v>126</v>
      </c>
      <c r="BA44" s="1" t="s">
        <v>61</v>
      </c>
      <c r="BB44" s="1" t="s">
        <v>58</v>
      </c>
      <c r="BC44" s="1" t="s">
        <v>59</v>
      </c>
      <c r="BD44" s="1" t="s">
        <v>60</v>
      </c>
    </row>
    <row r="45" spans="1:56" ht="15.75" customHeight="1">
      <c r="A45" s="1">
        <f t="shared" si="0"/>
        <v>10009</v>
      </c>
      <c r="B45" s="1">
        <v>2</v>
      </c>
      <c r="C45" s="1">
        <v>0</v>
      </c>
      <c r="D45" s="1">
        <v>1</v>
      </c>
      <c r="E45" s="1">
        <f t="shared" si="1"/>
        <v>3</v>
      </c>
      <c r="F45" s="1">
        <v>0</v>
      </c>
      <c r="G45" s="1">
        <v>0</v>
      </c>
      <c r="H45" s="1">
        <v>20</v>
      </c>
      <c r="I45" s="1">
        <v>0.04</v>
      </c>
      <c r="J45" s="1">
        <f t="shared" si="4"/>
        <v>1</v>
      </c>
      <c r="K45" s="1">
        <v>0</v>
      </c>
      <c r="M45" s="1">
        <v>0</v>
      </c>
      <c r="N45" s="1">
        <v>0</v>
      </c>
      <c r="O45" s="1">
        <v>0</v>
      </c>
      <c r="P45" s="1"/>
      <c r="Q45" s="1">
        <v>0</v>
      </c>
      <c r="R45" s="1"/>
      <c r="S45" s="1">
        <v>0</v>
      </c>
      <c r="T45" s="1"/>
      <c r="U45" s="1">
        <v>3</v>
      </c>
      <c r="W45" s="1">
        <v>0</v>
      </c>
      <c r="X45" s="1">
        <v>0</v>
      </c>
      <c r="Y45" s="1">
        <v>0</v>
      </c>
      <c r="Z45" s="1">
        <v>0</v>
      </c>
      <c r="AB45" s="1">
        <v>0</v>
      </c>
      <c r="AC45" s="1">
        <v>0</v>
      </c>
      <c r="AD45" s="1">
        <v>0</v>
      </c>
      <c r="AL45" s="1">
        <v>0</v>
      </c>
      <c r="AQ45" s="1">
        <v>0</v>
      </c>
      <c r="AT45" s="1">
        <v>0</v>
      </c>
      <c r="AU45" s="1">
        <v>17</v>
      </c>
      <c r="AV45" s="1" t="s">
        <v>121</v>
      </c>
      <c r="AW45" s="1" t="s">
        <v>127</v>
      </c>
      <c r="AX45" s="1" t="s">
        <v>54</v>
      </c>
      <c r="AY45" s="1" t="s">
        <v>55</v>
      </c>
      <c r="AZ45" s="1" t="s">
        <v>126</v>
      </c>
      <c r="BA45" s="1" t="s">
        <v>65</v>
      </c>
      <c r="BB45" s="1" t="s">
        <v>58</v>
      </c>
      <c r="BC45" s="1" t="s">
        <v>59</v>
      </c>
      <c r="BD45" s="1" t="s">
        <v>60</v>
      </c>
    </row>
    <row r="46" spans="1:56" ht="15.75" customHeight="1">
      <c r="A46" s="1">
        <f t="shared" si="0"/>
        <v>10009</v>
      </c>
      <c r="B46" s="1">
        <v>2</v>
      </c>
      <c r="C46" s="1">
        <v>0</v>
      </c>
      <c r="D46" s="1">
        <v>1</v>
      </c>
      <c r="E46" s="1">
        <f t="shared" si="1"/>
        <v>4</v>
      </c>
      <c r="F46" s="1">
        <v>0</v>
      </c>
      <c r="G46" s="1">
        <v>0</v>
      </c>
      <c r="H46" s="1">
        <v>20</v>
      </c>
      <c r="I46" s="1">
        <v>4.2999999999999997E-2</v>
      </c>
      <c r="J46" s="1">
        <f t="shared" si="4"/>
        <v>3</v>
      </c>
      <c r="K46" s="1">
        <v>0</v>
      </c>
      <c r="M46" s="1">
        <v>0</v>
      </c>
      <c r="N46" s="1">
        <v>0</v>
      </c>
      <c r="O46" s="1">
        <v>0</v>
      </c>
      <c r="P46" s="1"/>
      <c r="Q46" s="1">
        <v>0</v>
      </c>
      <c r="R46" s="1"/>
      <c r="S46" s="1">
        <v>0</v>
      </c>
      <c r="T46" s="1"/>
      <c r="U46" s="1">
        <v>3</v>
      </c>
      <c r="W46" s="1">
        <v>0</v>
      </c>
      <c r="X46" s="1">
        <v>0</v>
      </c>
      <c r="Y46" s="1">
        <v>0</v>
      </c>
      <c r="Z46" s="1">
        <v>0</v>
      </c>
      <c r="AB46" s="1">
        <v>0</v>
      </c>
      <c r="AC46" s="1">
        <v>0</v>
      </c>
      <c r="AD46" s="1">
        <v>0</v>
      </c>
      <c r="AL46" s="1">
        <v>0</v>
      </c>
      <c r="AQ46" s="1">
        <v>0</v>
      </c>
      <c r="AT46" s="1">
        <v>0</v>
      </c>
      <c r="AU46" s="1">
        <v>20</v>
      </c>
      <c r="AV46" s="1" t="s">
        <v>121</v>
      </c>
      <c r="AW46" s="1" t="s">
        <v>128</v>
      </c>
      <c r="AX46" s="1" t="s">
        <v>54</v>
      </c>
      <c r="AY46" s="1" t="s">
        <v>66</v>
      </c>
      <c r="AZ46" s="1" t="s">
        <v>126</v>
      </c>
      <c r="BA46" s="1" t="s">
        <v>67</v>
      </c>
      <c r="BB46" s="1" t="s">
        <v>58</v>
      </c>
      <c r="BC46" s="1" t="s">
        <v>59</v>
      </c>
      <c r="BD46" s="1" t="s">
        <v>60</v>
      </c>
    </row>
    <row r="47" spans="1:56" ht="15.75" customHeight="1">
      <c r="A47" s="1">
        <f t="shared" si="0"/>
        <v>10010</v>
      </c>
      <c r="B47" s="1">
        <v>0</v>
      </c>
      <c r="C47" s="1">
        <v>0</v>
      </c>
      <c r="D47" s="1">
        <v>1</v>
      </c>
      <c r="E47" s="1">
        <f t="shared" si="1"/>
        <v>0</v>
      </c>
      <c r="F47" s="1">
        <v>0</v>
      </c>
      <c r="G47" s="1">
        <f t="shared" ref="G47:G61" si="5">G42</f>
        <v>0</v>
      </c>
      <c r="H47" s="1">
        <v>20</v>
      </c>
      <c r="I47" s="1">
        <v>2.8000000000000001E-2</v>
      </c>
      <c r="J47" s="1">
        <v>0</v>
      </c>
      <c r="K47" s="1">
        <v>0</v>
      </c>
      <c r="M47" s="1">
        <v>5</v>
      </c>
      <c r="N47" s="1">
        <v>0</v>
      </c>
      <c r="O47" s="1">
        <v>4</v>
      </c>
      <c r="P47" s="1"/>
      <c r="Q47" s="1">
        <v>0</v>
      </c>
      <c r="R47" s="1"/>
      <c r="S47" s="1">
        <v>0</v>
      </c>
      <c r="T47" s="1"/>
      <c r="U47" s="1">
        <v>0</v>
      </c>
      <c r="W47" s="1">
        <v>0</v>
      </c>
      <c r="X47" s="1">
        <v>0</v>
      </c>
      <c r="Y47" s="1">
        <v>0</v>
      </c>
      <c r="Z47" s="1">
        <v>0</v>
      </c>
      <c r="AB47" s="1">
        <v>0</v>
      </c>
      <c r="AC47" s="1">
        <v>0</v>
      </c>
      <c r="AD47" s="1">
        <v>0</v>
      </c>
      <c r="AL47" s="1">
        <v>0</v>
      </c>
      <c r="AQ47" s="1">
        <v>0</v>
      </c>
      <c r="AT47" s="1">
        <v>0</v>
      </c>
      <c r="AU47" s="1">
        <v>10</v>
      </c>
      <c r="AV47" s="1" t="s">
        <v>129</v>
      </c>
      <c r="AW47" s="1" t="s">
        <v>114</v>
      </c>
      <c r="AX47" s="1" t="s">
        <v>54</v>
      </c>
      <c r="AY47" s="1" t="s">
        <v>91</v>
      </c>
      <c r="AZ47" s="1" t="s">
        <v>130</v>
      </c>
      <c r="BA47" s="1" t="s">
        <v>71</v>
      </c>
      <c r="BB47" s="1" t="s">
        <v>58</v>
      </c>
      <c r="BC47" s="1" t="s">
        <v>59</v>
      </c>
      <c r="BD47" s="1" t="s">
        <v>60</v>
      </c>
    </row>
    <row r="48" spans="1:56" ht="15.75" customHeight="1">
      <c r="A48" s="1">
        <f t="shared" si="0"/>
        <v>10010</v>
      </c>
      <c r="B48" s="1">
        <v>0</v>
      </c>
      <c r="C48" s="1">
        <v>0</v>
      </c>
      <c r="D48" s="1">
        <v>1</v>
      </c>
      <c r="E48" s="1">
        <f t="shared" si="1"/>
        <v>1</v>
      </c>
      <c r="F48" s="1">
        <v>0</v>
      </c>
      <c r="G48" s="1">
        <f t="shared" si="5"/>
        <v>0</v>
      </c>
      <c r="H48" s="1">
        <v>20</v>
      </c>
      <c r="I48" s="1">
        <v>3.2000000000000001E-2</v>
      </c>
      <c r="J48" s="1">
        <v>0</v>
      </c>
      <c r="K48" s="1">
        <v>0</v>
      </c>
      <c r="M48" s="1">
        <v>5</v>
      </c>
      <c r="N48" s="1">
        <v>0</v>
      </c>
      <c r="O48" s="1">
        <v>4</v>
      </c>
      <c r="P48" s="1"/>
      <c r="Q48" s="1">
        <v>0</v>
      </c>
      <c r="R48" s="1"/>
      <c r="S48" s="1">
        <v>0</v>
      </c>
      <c r="T48" s="1"/>
      <c r="U48" s="1">
        <v>0</v>
      </c>
      <c r="W48" s="1">
        <v>0</v>
      </c>
      <c r="X48" s="1">
        <v>0</v>
      </c>
      <c r="Y48" s="1">
        <v>0</v>
      </c>
      <c r="Z48" s="1">
        <v>0</v>
      </c>
      <c r="AB48" s="1">
        <v>0</v>
      </c>
      <c r="AC48" s="1">
        <v>0</v>
      </c>
      <c r="AD48" s="1">
        <v>0</v>
      </c>
      <c r="AL48" s="1">
        <v>0</v>
      </c>
      <c r="AQ48" s="1">
        <v>0</v>
      </c>
      <c r="AT48" s="1">
        <v>0</v>
      </c>
      <c r="AU48" s="1">
        <v>10</v>
      </c>
      <c r="AV48" s="1" t="s">
        <v>129</v>
      </c>
      <c r="AW48" s="1" t="s">
        <v>116</v>
      </c>
      <c r="AX48" s="1" t="s">
        <v>54</v>
      </c>
      <c r="AY48" s="1" t="s">
        <v>91</v>
      </c>
      <c r="AZ48" s="1" t="s">
        <v>130</v>
      </c>
      <c r="BA48" s="1" t="s">
        <v>72</v>
      </c>
      <c r="BB48" s="1" t="s">
        <v>58</v>
      </c>
      <c r="BC48" s="1" t="s">
        <v>59</v>
      </c>
      <c r="BD48" s="1" t="s">
        <v>60</v>
      </c>
    </row>
    <row r="49" spans="1:56" ht="15.75" customHeight="1">
      <c r="A49" s="1">
        <f t="shared" si="0"/>
        <v>10010</v>
      </c>
      <c r="B49" s="1">
        <v>0</v>
      </c>
      <c r="C49" s="1">
        <v>0</v>
      </c>
      <c r="D49" s="1">
        <v>1</v>
      </c>
      <c r="E49" s="1">
        <f t="shared" si="1"/>
        <v>2</v>
      </c>
      <c r="F49" s="1">
        <v>0</v>
      </c>
      <c r="G49" s="1">
        <f t="shared" si="5"/>
        <v>0</v>
      </c>
      <c r="H49" s="1">
        <v>20</v>
      </c>
      <c r="I49" s="1">
        <v>3.5999999999999997E-2</v>
      </c>
      <c r="J49" s="1">
        <v>0</v>
      </c>
      <c r="K49" s="1">
        <v>0</v>
      </c>
      <c r="M49" s="1">
        <v>5</v>
      </c>
      <c r="N49" s="1">
        <v>0</v>
      </c>
      <c r="O49" s="1">
        <v>8</v>
      </c>
      <c r="P49" s="1"/>
      <c r="Q49" s="1">
        <v>0</v>
      </c>
      <c r="R49" s="1"/>
      <c r="S49" s="1">
        <v>0</v>
      </c>
      <c r="T49" s="1"/>
      <c r="U49" s="1">
        <v>0</v>
      </c>
      <c r="W49" s="1">
        <v>0</v>
      </c>
      <c r="X49" s="1">
        <v>0</v>
      </c>
      <c r="Y49" s="1">
        <v>0</v>
      </c>
      <c r="Z49" s="1">
        <v>0</v>
      </c>
      <c r="AB49" s="1">
        <v>0</v>
      </c>
      <c r="AC49" s="1">
        <v>0</v>
      </c>
      <c r="AD49" s="1">
        <v>0</v>
      </c>
      <c r="AL49" s="1">
        <v>0</v>
      </c>
      <c r="AQ49" s="1">
        <v>0</v>
      </c>
      <c r="AT49" s="1">
        <v>0</v>
      </c>
      <c r="AU49" s="1">
        <v>15</v>
      </c>
      <c r="AV49" s="1" t="s">
        <v>129</v>
      </c>
      <c r="AW49" s="1" t="s">
        <v>117</v>
      </c>
      <c r="AX49" s="1" t="s">
        <v>54</v>
      </c>
      <c r="AY49" s="1" t="s">
        <v>91</v>
      </c>
      <c r="AZ49" s="1" t="s">
        <v>131</v>
      </c>
      <c r="BA49" s="1" t="s">
        <v>72</v>
      </c>
      <c r="BB49" s="1" t="s">
        <v>58</v>
      </c>
      <c r="BC49" s="1" t="s">
        <v>59</v>
      </c>
      <c r="BD49" s="1" t="s">
        <v>60</v>
      </c>
    </row>
    <row r="50" spans="1:56" ht="15.75" customHeight="1">
      <c r="A50" s="1">
        <f t="shared" si="0"/>
        <v>10010</v>
      </c>
      <c r="B50" s="1">
        <v>0</v>
      </c>
      <c r="C50" s="1">
        <v>0</v>
      </c>
      <c r="D50" s="1">
        <v>1</v>
      </c>
      <c r="E50" s="1">
        <f t="shared" si="1"/>
        <v>3</v>
      </c>
      <c r="F50" s="1">
        <v>0</v>
      </c>
      <c r="G50" s="1">
        <f t="shared" si="5"/>
        <v>0</v>
      </c>
      <c r="H50" s="1">
        <v>20</v>
      </c>
      <c r="I50" s="1">
        <v>0.04</v>
      </c>
      <c r="J50" s="1">
        <v>0</v>
      </c>
      <c r="K50" s="1">
        <v>0</v>
      </c>
      <c r="M50" s="1">
        <v>5</v>
      </c>
      <c r="N50" s="1">
        <v>0</v>
      </c>
      <c r="O50" s="1">
        <v>8</v>
      </c>
      <c r="P50" s="1"/>
      <c r="Q50" s="1">
        <v>0</v>
      </c>
      <c r="R50" s="1"/>
      <c r="S50" s="1">
        <v>0</v>
      </c>
      <c r="T50" s="1"/>
      <c r="U50" s="1">
        <v>0</v>
      </c>
      <c r="W50" s="1">
        <v>0</v>
      </c>
      <c r="X50" s="1">
        <v>0</v>
      </c>
      <c r="Y50" s="1">
        <v>0</v>
      </c>
      <c r="Z50" s="1">
        <v>0</v>
      </c>
      <c r="AB50" s="1">
        <v>0</v>
      </c>
      <c r="AC50" s="1">
        <v>0</v>
      </c>
      <c r="AD50" s="1">
        <v>0</v>
      </c>
      <c r="AL50" s="1">
        <v>0</v>
      </c>
      <c r="AQ50" s="1">
        <v>0</v>
      </c>
      <c r="AT50" s="1">
        <v>0</v>
      </c>
      <c r="AU50" s="1">
        <v>17</v>
      </c>
      <c r="AV50" s="1" t="s">
        <v>129</v>
      </c>
      <c r="AW50" s="1" t="s">
        <v>119</v>
      </c>
      <c r="AX50" s="1" t="s">
        <v>54</v>
      </c>
      <c r="AY50" s="1" t="s">
        <v>91</v>
      </c>
      <c r="AZ50" s="1" t="s">
        <v>131</v>
      </c>
      <c r="BA50" s="1" t="s">
        <v>76</v>
      </c>
      <c r="BB50" s="1" t="s">
        <v>58</v>
      </c>
      <c r="BC50" s="1" t="s">
        <v>59</v>
      </c>
      <c r="BD50" s="1" t="s">
        <v>60</v>
      </c>
    </row>
    <row r="51" spans="1:56" ht="15.75" customHeight="1">
      <c r="A51" s="1">
        <f t="shared" si="0"/>
        <v>10010</v>
      </c>
      <c r="B51" s="1">
        <v>0</v>
      </c>
      <c r="C51" s="1">
        <v>0</v>
      </c>
      <c r="D51" s="1">
        <v>1</v>
      </c>
      <c r="E51" s="1">
        <f t="shared" si="1"/>
        <v>4</v>
      </c>
      <c r="F51" s="1">
        <v>0</v>
      </c>
      <c r="G51" s="1">
        <f t="shared" si="5"/>
        <v>0</v>
      </c>
      <c r="H51" s="1">
        <v>20</v>
      </c>
      <c r="I51" s="1">
        <v>4.2999999999999997E-2</v>
      </c>
      <c r="J51" s="1">
        <v>0</v>
      </c>
      <c r="K51" s="1">
        <v>0</v>
      </c>
      <c r="M51" s="1">
        <v>9</v>
      </c>
      <c r="N51" s="1">
        <v>0</v>
      </c>
      <c r="O51" s="1">
        <v>8</v>
      </c>
      <c r="P51" s="1"/>
      <c r="Q51" s="1">
        <v>0</v>
      </c>
      <c r="R51" s="1"/>
      <c r="S51" s="1">
        <v>0</v>
      </c>
      <c r="T51" s="1"/>
      <c r="U51" s="1">
        <v>0</v>
      </c>
      <c r="W51" s="1">
        <v>0</v>
      </c>
      <c r="X51" s="1">
        <v>0</v>
      </c>
      <c r="Y51" s="1">
        <v>0</v>
      </c>
      <c r="Z51" s="1">
        <v>0</v>
      </c>
      <c r="AB51" s="1">
        <v>0</v>
      </c>
      <c r="AC51" s="1">
        <v>0</v>
      </c>
      <c r="AD51" s="1">
        <v>0</v>
      </c>
      <c r="AL51" s="1">
        <v>0</v>
      </c>
      <c r="AQ51" s="1">
        <v>0</v>
      </c>
      <c r="AT51" s="1">
        <v>0</v>
      </c>
      <c r="AU51" s="1">
        <v>20</v>
      </c>
      <c r="AV51" s="1" t="s">
        <v>129</v>
      </c>
      <c r="AW51" s="1" t="s">
        <v>120</v>
      </c>
      <c r="AX51" s="1" t="s">
        <v>54</v>
      </c>
      <c r="AY51" s="1" t="s">
        <v>94</v>
      </c>
      <c r="AZ51" s="1" t="s">
        <v>131</v>
      </c>
      <c r="BA51" s="1" t="s">
        <v>78</v>
      </c>
      <c r="BB51" s="1" t="s">
        <v>58</v>
      </c>
      <c r="BC51" s="1" t="s">
        <v>59</v>
      </c>
      <c r="BD51" s="1" t="s">
        <v>60</v>
      </c>
    </row>
    <row r="52" spans="1:56" ht="15.75" customHeight="1">
      <c r="A52" s="1">
        <f t="shared" si="0"/>
        <v>10011</v>
      </c>
      <c r="B52" s="1">
        <v>1</v>
      </c>
      <c r="C52" s="1">
        <v>0</v>
      </c>
      <c r="D52" s="1">
        <v>1</v>
      </c>
      <c r="E52" s="1">
        <f t="shared" si="1"/>
        <v>0</v>
      </c>
      <c r="F52" s="1">
        <v>0</v>
      </c>
      <c r="G52" s="1">
        <f t="shared" si="5"/>
        <v>0</v>
      </c>
      <c r="H52" s="1">
        <v>20</v>
      </c>
      <c r="I52" s="1">
        <v>2.8000000000000001E-2</v>
      </c>
      <c r="J52" s="1">
        <v>0</v>
      </c>
      <c r="K52" s="1">
        <v>0</v>
      </c>
      <c r="M52" s="1">
        <v>5</v>
      </c>
      <c r="N52" s="1">
        <v>0</v>
      </c>
      <c r="O52" s="1">
        <v>0</v>
      </c>
      <c r="P52" s="1"/>
      <c r="Q52" s="1">
        <v>0</v>
      </c>
      <c r="R52" s="1"/>
      <c r="S52" s="1">
        <v>0</v>
      </c>
      <c r="T52" s="1"/>
      <c r="U52" s="1">
        <v>2</v>
      </c>
      <c r="W52" s="1">
        <v>0</v>
      </c>
      <c r="X52" s="1">
        <v>0</v>
      </c>
      <c r="Y52" s="1">
        <v>0</v>
      </c>
      <c r="Z52" s="1">
        <v>0</v>
      </c>
      <c r="AB52" s="1">
        <v>0</v>
      </c>
      <c r="AC52" s="1">
        <v>0</v>
      </c>
      <c r="AD52" s="1">
        <v>0</v>
      </c>
      <c r="AL52" s="1">
        <v>0</v>
      </c>
      <c r="AQ52" s="1">
        <v>0</v>
      </c>
      <c r="AT52" s="1">
        <v>0</v>
      </c>
      <c r="AU52" s="1">
        <v>10</v>
      </c>
      <c r="AV52" s="1" t="s">
        <v>132</v>
      </c>
      <c r="AW52" s="1" t="s">
        <v>106</v>
      </c>
      <c r="AX52" s="1" t="s">
        <v>54</v>
      </c>
      <c r="AY52" s="1" t="s">
        <v>101</v>
      </c>
      <c r="AZ52" s="1" t="s">
        <v>133</v>
      </c>
      <c r="BA52" s="1" t="s">
        <v>82</v>
      </c>
      <c r="BB52" s="1" t="s">
        <v>58</v>
      </c>
      <c r="BC52" s="1" t="s">
        <v>59</v>
      </c>
      <c r="BD52" s="1" t="s">
        <v>60</v>
      </c>
    </row>
    <row r="53" spans="1:56" ht="15.75" customHeight="1">
      <c r="A53" s="1">
        <f t="shared" si="0"/>
        <v>10011</v>
      </c>
      <c r="B53" s="1">
        <v>1</v>
      </c>
      <c r="C53" s="1">
        <v>0</v>
      </c>
      <c r="D53" s="1">
        <v>1</v>
      </c>
      <c r="E53" s="1">
        <f t="shared" si="1"/>
        <v>1</v>
      </c>
      <c r="F53" s="1">
        <v>0</v>
      </c>
      <c r="G53" s="1">
        <f t="shared" si="5"/>
        <v>0</v>
      </c>
      <c r="H53" s="1">
        <v>20</v>
      </c>
      <c r="I53" s="1">
        <v>3.2000000000000001E-2</v>
      </c>
      <c r="J53" s="1">
        <v>0</v>
      </c>
      <c r="K53" s="1">
        <v>0</v>
      </c>
      <c r="M53" s="1">
        <v>5</v>
      </c>
      <c r="N53" s="1">
        <v>0</v>
      </c>
      <c r="O53" s="1">
        <v>0</v>
      </c>
      <c r="P53" s="1"/>
      <c r="Q53" s="1">
        <v>0</v>
      </c>
      <c r="R53" s="1"/>
      <c r="S53" s="1">
        <v>0</v>
      </c>
      <c r="T53" s="1"/>
      <c r="U53" s="1">
        <v>2</v>
      </c>
      <c r="W53" s="1">
        <v>0</v>
      </c>
      <c r="X53" s="1">
        <v>0</v>
      </c>
      <c r="Y53" s="1">
        <v>0</v>
      </c>
      <c r="Z53" s="1">
        <v>0</v>
      </c>
      <c r="AB53" s="1">
        <v>0</v>
      </c>
      <c r="AC53" s="1">
        <v>0</v>
      </c>
      <c r="AD53" s="1">
        <v>0</v>
      </c>
      <c r="AL53" s="1">
        <v>0</v>
      </c>
      <c r="AQ53" s="1">
        <v>0</v>
      </c>
      <c r="AT53" s="1">
        <v>0</v>
      </c>
      <c r="AU53" s="1">
        <v>10</v>
      </c>
      <c r="AV53" s="1" t="s">
        <v>132</v>
      </c>
      <c r="AW53" s="1" t="s">
        <v>108</v>
      </c>
      <c r="AX53" s="1" t="s">
        <v>54</v>
      </c>
      <c r="AY53" s="1" t="s">
        <v>101</v>
      </c>
      <c r="AZ53" s="1" t="s">
        <v>133</v>
      </c>
      <c r="BA53" s="1" t="s">
        <v>83</v>
      </c>
      <c r="BB53" s="1" t="s">
        <v>58</v>
      </c>
      <c r="BC53" s="1" t="s">
        <v>59</v>
      </c>
      <c r="BD53" s="1" t="s">
        <v>60</v>
      </c>
    </row>
    <row r="54" spans="1:56" ht="15.75" customHeight="1">
      <c r="A54" s="1">
        <f t="shared" si="0"/>
        <v>10011</v>
      </c>
      <c r="B54" s="1">
        <v>1</v>
      </c>
      <c r="C54" s="1">
        <v>0</v>
      </c>
      <c r="D54" s="1">
        <v>1</v>
      </c>
      <c r="E54" s="1">
        <f t="shared" si="1"/>
        <v>2</v>
      </c>
      <c r="F54" s="1">
        <v>0</v>
      </c>
      <c r="G54" s="1">
        <f t="shared" si="5"/>
        <v>0</v>
      </c>
      <c r="H54" s="1">
        <v>20</v>
      </c>
      <c r="I54" s="1">
        <v>3.5999999999999997E-2</v>
      </c>
      <c r="J54" s="1">
        <v>0</v>
      </c>
      <c r="K54" s="1">
        <v>0</v>
      </c>
      <c r="M54" s="1">
        <v>5</v>
      </c>
      <c r="N54" s="1">
        <v>0</v>
      </c>
      <c r="O54" s="1">
        <v>0</v>
      </c>
      <c r="P54" s="1"/>
      <c r="Q54" s="1">
        <v>0</v>
      </c>
      <c r="R54" s="1"/>
      <c r="S54" s="1">
        <v>0</v>
      </c>
      <c r="T54" s="1"/>
      <c r="U54" s="1">
        <v>3</v>
      </c>
      <c r="W54" s="1">
        <v>0</v>
      </c>
      <c r="X54" s="1">
        <v>0</v>
      </c>
      <c r="Y54" s="1">
        <v>0</v>
      </c>
      <c r="Z54" s="1">
        <v>0</v>
      </c>
      <c r="AB54" s="1">
        <v>0</v>
      </c>
      <c r="AC54" s="1">
        <v>0</v>
      </c>
      <c r="AD54" s="1">
        <v>0</v>
      </c>
      <c r="AL54" s="1">
        <v>0</v>
      </c>
      <c r="AQ54" s="1">
        <v>0</v>
      </c>
      <c r="AT54" s="1">
        <v>0</v>
      </c>
      <c r="AU54" s="1">
        <v>15</v>
      </c>
      <c r="AV54" s="1" t="s">
        <v>132</v>
      </c>
      <c r="AW54" s="1" t="s">
        <v>109</v>
      </c>
      <c r="AX54" s="1" t="s">
        <v>54</v>
      </c>
      <c r="AY54" s="1" t="s">
        <v>101</v>
      </c>
      <c r="AZ54" s="1" t="s">
        <v>134</v>
      </c>
      <c r="BA54" s="1" t="s">
        <v>83</v>
      </c>
      <c r="BB54" s="1" t="s">
        <v>58</v>
      </c>
      <c r="BC54" s="1" t="s">
        <v>59</v>
      </c>
      <c r="BD54" s="1" t="s">
        <v>60</v>
      </c>
    </row>
    <row r="55" spans="1:56" ht="15.75" customHeight="1">
      <c r="A55" s="1">
        <f t="shared" si="0"/>
        <v>10011</v>
      </c>
      <c r="B55" s="1">
        <v>1</v>
      </c>
      <c r="C55" s="1">
        <v>0</v>
      </c>
      <c r="D55" s="1">
        <v>1</v>
      </c>
      <c r="E55" s="1">
        <f t="shared" si="1"/>
        <v>3</v>
      </c>
      <c r="F55" s="1">
        <v>0</v>
      </c>
      <c r="G55" s="1">
        <f t="shared" si="5"/>
        <v>0</v>
      </c>
      <c r="H55" s="1">
        <v>20</v>
      </c>
      <c r="I55" s="1">
        <v>0.04</v>
      </c>
      <c r="J55" s="1">
        <v>0</v>
      </c>
      <c r="K55" s="1">
        <v>0</v>
      </c>
      <c r="M55" s="1">
        <v>5</v>
      </c>
      <c r="N55" s="1">
        <v>0</v>
      </c>
      <c r="O55" s="1">
        <v>0</v>
      </c>
      <c r="P55" s="1"/>
      <c r="Q55" s="1">
        <v>0</v>
      </c>
      <c r="R55" s="1"/>
      <c r="S55" s="1">
        <v>0</v>
      </c>
      <c r="T55" s="1"/>
      <c r="U55" s="1">
        <v>3</v>
      </c>
      <c r="W55" s="1">
        <v>0</v>
      </c>
      <c r="X55" s="1">
        <v>0</v>
      </c>
      <c r="Y55" s="1">
        <v>0</v>
      </c>
      <c r="Z55" s="1">
        <v>0</v>
      </c>
      <c r="AB55" s="1">
        <v>0</v>
      </c>
      <c r="AC55" s="1">
        <v>0</v>
      </c>
      <c r="AD55" s="1">
        <v>0</v>
      </c>
      <c r="AL55" s="1">
        <v>0</v>
      </c>
      <c r="AQ55" s="1">
        <v>0</v>
      </c>
      <c r="AT55" s="1">
        <v>0</v>
      </c>
      <c r="AU55" s="1">
        <v>17</v>
      </c>
      <c r="AV55" s="1" t="s">
        <v>132</v>
      </c>
      <c r="AW55" s="1" t="s">
        <v>111</v>
      </c>
      <c r="AX55" s="1" t="s">
        <v>54</v>
      </c>
      <c r="AY55" s="1" t="s">
        <v>101</v>
      </c>
      <c r="AZ55" s="1" t="s">
        <v>134</v>
      </c>
      <c r="BA55" s="1" t="s">
        <v>87</v>
      </c>
      <c r="BB55" s="1" t="s">
        <v>58</v>
      </c>
      <c r="BC55" s="1" t="s">
        <v>59</v>
      </c>
      <c r="BD55" s="1" t="s">
        <v>60</v>
      </c>
    </row>
    <row r="56" spans="1:56" ht="15.75" customHeight="1">
      <c r="A56" s="1">
        <f t="shared" si="0"/>
        <v>10011</v>
      </c>
      <c r="B56" s="1">
        <v>1</v>
      </c>
      <c r="C56" s="1">
        <v>0</v>
      </c>
      <c r="D56" s="1">
        <v>1</v>
      </c>
      <c r="E56" s="1">
        <f t="shared" si="1"/>
        <v>4</v>
      </c>
      <c r="F56" s="1">
        <v>0</v>
      </c>
      <c r="G56" s="1">
        <f t="shared" si="5"/>
        <v>0</v>
      </c>
      <c r="H56" s="1">
        <v>20</v>
      </c>
      <c r="I56" s="1">
        <v>4.2999999999999997E-2</v>
      </c>
      <c r="J56" s="1">
        <v>0</v>
      </c>
      <c r="K56" s="1">
        <v>0</v>
      </c>
      <c r="M56" s="1">
        <v>9</v>
      </c>
      <c r="N56" s="1">
        <v>0</v>
      </c>
      <c r="O56" s="1">
        <v>0</v>
      </c>
      <c r="P56" s="1"/>
      <c r="Q56" s="1">
        <v>0</v>
      </c>
      <c r="R56" s="1"/>
      <c r="S56" s="1">
        <v>0</v>
      </c>
      <c r="T56" s="1"/>
      <c r="U56" s="1">
        <v>3</v>
      </c>
      <c r="W56" s="1">
        <v>0</v>
      </c>
      <c r="X56" s="1">
        <v>0</v>
      </c>
      <c r="Y56" s="1">
        <v>0</v>
      </c>
      <c r="Z56" s="1">
        <v>0</v>
      </c>
      <c r="AB56" s="1">
        <v>0</v>
      </c>
      <c r="AC56" s="1">
        <v>0</v>
      </c>
      <c r="AD56" s="1">
        <v>0</v>
      </c>
      <c r="AL56" s="1">
        <v>0</v>
      </c>
      <c r="AQ56" s="1">
        <v>0</v>
      </c>
      <c r="AT56" s="1">
        <v>0</v>
      </c>
      <c r="AU56" s="1">
        <v>20</v>
      </c>
      <c r="AV56" s="1" t="s">
        <v>132</v>
      </c>
      <c r="AW56" s="1" t="s">
        <v>112</v>
      </c>
      <c r="AX56" s="1" t="s">
        <v>54</v>
      </c>
      <c r="AY56" s="1" t="s">
        <v>104</v>
      </c>
      <c r="AZ56" s="1" t="s">
        <v>134</v>
      </c>
      <c r="BA56" s="1" t="s">
        <v>89</v>
      </c>
      <c r="BB56" s="1" t="s">
        <v>58</v>
      </c>
      <c r="BC56" s="1" t="s">
        <v>59</v>
      </c>
      <c r="BD56" s="1" t="s">
        <v>60</v>
      </c>
    </row>
    <row r="57" spans="1:56" ht="15.75" customHeight="1">
      <c r="A57" s="1">
        <f t="shared" si="0"/>
        <v>10012</v>
      </c>
      <c r="B57" s="1">
        <v>2</v>
      </c>
      <c r="C57" s="1">
        <v>0</v>
      </c>
      <c r="D57" s="1">
        <v>1</v>
      </c>
      <c r="E57" s="1">
        <f t="shared" si="1"/>
        <v>0</v>
      </c>
      <c r="F57" s="1">
        <v>0</v>
      </c>
      <c r="G57" s="1">
        <f t="shared" si="5"/>
        <v>0</v>
      </c>
      <c r="H57" s="1">
        <v>20</v>
      </c>
      <c r="I57" s="1">
        <v>2.8000000000000001E-2</v>
      </c>
      <c r="J57" s="1">
        <v>0</v>
      </c>
      <c r="K57" s="1">
        <v>0</v>
      </c>
      <c r="M57" s="1">
        <v>5</v>
      </c>
      <c r="N57" s="1">
        <v>0</v>
      </c>
      <c r="O57" s="1">
        <v>0</v>
      </c>
      <c r="P57" s="1"/>
      <c r="Q57" s="1">
        <v>4</v>
      </c>
      <c r="R57" s="1"/>
      <c r="S57" s="1">
        <v>0</v>
      </c>
      <c r="T57" s="1"/>
      <c r="U57" s="1">
        <v>0</v>
      </c>
      <c r="W57" s="1">
        <v>0</v>
      </c>
      <c r="X57" s="1">
        <v>0</v>
      </c>
      <c r="Y57" s="1">
        <v>0</v>
      </c>
      <c r="Z57" s="1">
        <v>0</v>
      </c>
      <c r="AB57" s="1">
        <v>0</v>
      </c>
      <c r="AC57" s="1">
        <v>0</v>
      </c>
      <c r="AD57" s="1">
        <v>0</v>
      </c>
      <c r="AL57" s="1">
        <v>0</v>
      </c>
      <c r="AQ57" s="1">
        <v>0</v>
      </c>
      <c r="AT57" s="1">
        <v>0</v>
      </c>
      <c r="AU57" s="1">
        <v>10</v>
      </c>
      <c r="AV57" s="1" t="s">
        <v>135</v>
      </c>
      <c r="AW57" s="1" t="s">
        <v>122</v>
      </c>
      <c r="AX57" s="1" t="s">
        <v>54</v>
      </c>
      <c r="AY57" s="1" t="s">
        <v>96</v>
      </c>
      <c r="AZ57" s="1" t="s">
        <v>136</v>
      </c>
      <c r="BA57" s="1" t="s">
        <v>57</v>
      </c>
      <c r="BB57" s="1" t="s">
        <v>58</v>
      </c>
      <c r="BC57" s="1" t="s">
        <v>59</v>
      </c>
      <c r="BD57" s="1" t="s">
        <v>60</v>
      </c>
    </row>
    <row r="58" spans="1:56" ht="15.75" customHeight="1">
      <c r="A58" s="1">
        <f t="shared" si="0"/>
        <v>10012</v>
      </c>
      <c r="B58" s="1">
        <v>2</v>
      </c>
      <c r="C58" s="1">
        <v>0</v>
      </c>
      <c r="D58" s="1">
        <v>1</v>
      </c>
      <c r="E58" s="1">
        <f t="shared" si="1"/>
        <v>1</v>
      </c>
      <c r="F58" s="1">
        <v>0</v>
      </c>
      <c r="G58" s="1">
        <f t="shared" si="5"/>
        <v>0</v>
      </c>
      <c r="H58" s="1">
        <v>20</v>
      </c>
      <c r="I58" s="1">
        <v>3.2000000000000001E-2</v>
      </c>
      <c r="J58" s="1">
        <v>0</v>
      </c>
      <c r="K58" s="1">
        <v>0</v>
      </c>
      <c r="M58" s="1">
        <v>5</v>
      </c>
      <c r="N58" s="1">
        <v>0</v>
      </c>
      <c r="O58" s="1">
        <v>0</v>
      </c>
      <c r="P58" s="1"/>
      <c r="Q58" s="1">
        <v>4</v>
      </c>
      <c r="R58" s="1"/>
      <c r="S58" s="1">
        <v>0</v>
      </c>
      <c r="T58" s="1"/>
      <c r="U58" s="1">
        <v>0</v>
      </c>
      <c r="W58" s="1">
        <v>0</v>
      </c>
      <c r="X58" s="1">
        <v>0</v>
      </c>
      <c r="Y58" s="1">
        <v>0</v>
      </c>
      <c r="Z58" s="1">
        <v>0</v>
      </c>
      <c r="AB58" s="1">
        <v>0</v>
      </c>
      <c r="AC58" s="1">
        <v>0</v>
      </c>
      <c r="AD58" s="1">
        <v>0</v>
      </c>
      <c r="AL58" s="1">
        <v>0</v>
      </c>
      <c r="AQ58" s="1">
        <v>0</v>
      </c>
      <c r="AT58" s="1">
        <v>0</v>
      </c>
      <c r="AU58" s="1">
        <v>10</v>
      </c>
      <c r="AV58" s="1" t="s">
        <v>135</v>
      </c>
      <c r="AW58" s="1" t="s">
        <v>124</v>
      </c>
      <c r="AX58" s="1" t="s">
        <v>54</v>
      </c>
      <c r="AY58" s="1" t="s">
        <v>96</v>
      </c>
      <c r="AZ58" s="1" t="s">
        <v>136</v>
      </c>
      <c r="BA58" s="1" t="s">
        <v>61</v>
      </c>
      <c r="BB58" s="1" t="s">
        <v>58</v>
      </c>
      <c r="BC58" s="1" t="s">
        <v>59</v>
      </c>
      <c r="BD58" s="1" t="s">
        <v>60</v>
      </c>
    </row>
    <row r="59" spans="1:56" ht="15.75" customHeight="1">
      <c r="A59" s="1">
        <f t="shared" si="0"/>
        <v>10012</v>
      </c>
      <c r="B59" s="1">
        <v>2</v>
      </c>
      <c r="C59" s="1">
        <v>0</v>
      </c>
      <c r="D59" s="1">
        <v>1</v>
      </c>
      <c r="E59" s="1">
        <f t="shared" si="1"/>
        <v>2</v>
      </c>
      <c r="F59" s="1">
        <v>0</v>
      </c>
      <c r="G59" s="1">
        <f t="shared" si="5"/>
        <v>0</v>
      </c>
      <c r="H59" s="1">
        <v>20</v>
      </c>
      <c r="I59" s="1">
        <v>3.5999999999999997E-2</v>
      </c>
      <c r="J59" s="1">
        <v>0</v>
      </c>
      <c r="K59" s="1">
        <v>0</v>
      </c>
      <c r="M59" s="1">
        <v>5</v>
      </c>
      <c r="N59" s="1">
        <v>0</v>
      </c>
      <c r="O59" s="1">
        <v>0</v>
      </c>
      <c r="P59" s="1"/>
      <c r="Q59" s="1">
        <v>7</v>
      </c>
      <c r="R59" s="1"/>
      <c r="S59" s="1">
        <v>0</v>
      </c>
      <c r="T59" s="1"/>
      <c r="U59" s="1">
        <v>0</v>
      </c>
      <c r="W59" s="1">
        <v>0</v>
      </c>
      <c r="X59" s="1">
        <v>0</v>
      </c>
      <c r="Y59" s="1">
        <v>0</v>
      </c>
      <c r="Z59" s="1">
        <v>0</v>
      </c>
      <c r="AB59" s="1">
        <v>0</v>
      </c>
      <c r="AC59" s="1">
        <v>0</v>
      </c>
      <c r="AD59" s="1">
        <v>0</v>
      </c>
      <c r="AL59" s="1">
        <v>0</v>
      </c>
      <c r="AQ59" s="1">
        <v>0</v>
      </c>
      <c r="AT59" s="1">
        <v>0</v>
      </c>
      <c r="AU59" s="1">
        <v>15</v>
      </c>
      <c r="AV59" s="1" t="s">
        <v>135</v>
      </c>
      <c r="AW59" s="1" t="s">
        <v>125</v>
      </c>
      <c r="AX59" s="1" t="s">
        <v>54</v>
      </c>
      <c r="AY59" s="1" t="s">
        <v>96</v>
      </c>
      <c r="AZ59" s="1" t="s">
        <v>137</v>
      </c>
      <c r="BA59" s="1" t="s">
        <v>61</v>
      </c>
      <c r="BB59" s="1" t="s">
        <v>58</v>
      </c>
      <c r="BC59" s="1" t="s">
        <v>59</v>
      </c>
      <c r="BD59" s="1" t="s">
        <v>60</v>
      </c>
    </row>
    <row r="60" spans="1:56" ht="15.75" customHeight="1">
      <c r="A60" s="1">
        <f t="shared" si="0"/>
        <v>10012</v>
      </c>
      <c r="B60" s="1">
        <v>2</v>
      </c>
      <c r="C60" s="1">
        <v>0</v>
      </c>
      <c r="D60" s="1">
        <v>1</v>
      </c>
      <c r="E60" s="1">
        <f t="shared" si="1"/>
        <v>3</v>
      </c>
      <c r="F60" s="1">
        <v>0</v>
      </c>
      <c r="G60" s="1">
        <f t="shared" si="5"/>
        <v>0</v>
      </c>
      <c r="H60" s="1">
        <v>20</v>
      </c>
      <c r="I60" s="1">
        <v>0.04</v>
      </c>
      <c r="J60" s="1">
        <v>0</v>
      </c>
      <c r="K60" s="1">
        <v>0</v>
      </c>
      <c r="M60" s="1">
        <v>5</v>
      </c>
      <c r="N60" s="1">
        <v>0</v>
      </c>
      <c r="O60" s="1">
        <v>0</v>
      </c>
      <c r="P60" s="1"/>
      <c r="Q60" s="1">
        <v>7</v>
      </c>
      <c r="R60" s="1"/>
      <c r="S60" s="1">
        <v>0</v>
      </c>
      <c r="T60" s="1"/>
      <c r="U60" s="1">
        <v>0</v>
      </c>
      <c r="W60" s="1">
        <v>0</v>
      </c>
      <c r="X60" s="1">
        <v>0</v>
      </c>
      <c r="Y60" s="1">
        <v>0</v>
      </c>
      <c r="Z60" s="1">
        <v>0</v>
      </c>
      <c r="AB60" s="1">
        <v>0</v>
      </c>
      <c r="AC60" s="1">
        <v>0</v>
      </c>
      <c r="AD60" s="1">
        <v>0</v>
      </c>
      <c r="AL60" s="1">
        <v>0</v>
      </c>
      <c r="AQ60" s="1">
        <v>0</v>
      </c>
      <c r="AT60" s="1">
        <v>0</v>
      </c>
      <c r="AU60" s="1">
        <v>17</v>
      </c>
      <c r="AV60" s="1" t="s">
        <v>135</v>
      </c>
      <c r="AW60" s="1" t="s">
        <v>127</v>
      </c>
      <c r="AX60" s="1" t="s">
        <v>54</v>
      </c>
      <c r="AY60" s="1" t="s">
        <v>96</v>
      </c>
      <c r="AZ60" s="1" t="s">
        <v>137</v>
      </c>
      <c r="BA60" s="1" t="s">
        <v>65</v>
      </c>
      <c r="BB60" s="1" t="s">
        <v>58</v>
      </c>
      <c r="BC60" s="1" t="s">
        <v>59</v>
      </c>
      <c r="BD60" s="1" t="s">
        <v>60</v>
      </c>
    </row>
    <row r="61" spans="1:56" ht="15.75" customHeight="1">
      <c r="A61" s="1">
        <f t="shared" si="0"/>
        <v>10012</v>
      </c>
      <c r="B61" s="1">
        <v>2</v>
      </c>
      <c r="C61" s="1">
        <v>0</v>
      </c>
      <c r="D61" s="1">
        <v>1</v>
      </c>
      <c r="E61" s="1">
        <f t="shared" si="1"/>
        <v>4</v>
      </c>
      <c r="F61" s="1">
        <v>0</v>
      </c>
      <c r="G61" s="1">
        <f t="shared" si="5"/>
        <v>0</v>
      </c>
      <c r="H61" s="1">
        <v>20</v>
      </c>
      <c r="I61" s="1">
        <v>4.2999999999999997E-2</v>
      </c>
      <c r="J61" s="1">
        <v>0</v>
      </c>
      <c r="K61" s="1">
        <v>0</v>
      </c>
      <c r="M61" s="1">
        <v>9</v>
      </c>
      <c r="N61" s="1">
        <v>0</v>
      </c>
      <c r="O61" s="1">
        <v>0</v>
      </c>
      <c r="P61" s="1"/>
      <c r="Q61" s="1">
        <v>7</v>
      </c>
      <c r="R61" s="1"/>
      <c r="S61" s="1">
        <v>0</v>
      </c>
      <c r="T61" s="1"/>
      <c r="U61" s="1">
        <v>0</v>
      </c>
      <c r="W61" s="1">
        <v>0</v>
      </c>
      <c r="X61" s="1">
        <v>0</v>
      </c>
      <c r="Y61" s="1">
        <v>0</v>
      </c>
      <c r="Z61" s="1">
        <v>0</v>
      </c>
      <c r="AB61" s="1">
        <v>0</v>
      </c>
      <c r="AC61" s="1">
        <v>0</v>
      </c>
      <c r="AD61" s="1">
        <v>0</v>
      </c>
      <c r="AL61" s="1">
        <v>0</v>
      </c>
      <c r="AQ61" s="1">
        <v>0</v>
      </c>
      <c r="AT61" s="1">
        <v>0</v>
      </c>
      <c r="AU61" s="1">
        <v>20</v>
      </c>
      <c r="AV61" s="1" t="s">
        <v>135</v>
      </c>
      <c r="AW61" s="1" t="s">
        <v>128</v>
      </c>
      <c r="AX61" s="1" t="s">
        <v>54</v>
      </c>
      <c r="AY61" s="1" t="s">
        <v>99</v>
      </c>
      <c r="AZ61" s="1" t="s">
        <v>137</v>
      </c>
      <c r="BA61" s="1" t="s">
        <v>67</v>
      </c>
      <c r="BB61" s="1" t="s">
        <v>58</v>
      </c>
      <c r="BC61" s="1" t="s">
        <v>59</v>
      </c>
      <c r="BD61" s="1" t="s">
        <v>60</v>
      </c>
    </row>
    <row r="62" spans="1:56" ht="15.75" customHeight="1">
      <c r="A62" s="3">
        <v>10013</v>
      </c>
      <c r="B62">
        <v>1</v>
      </c>
      <c r="C62">
        <v>0</v>
      </c>
      <c r="D62">
        <v>1</v>
      </c>
      <c r="E62" s="1">
        <f t="shared" si="1"/>
        <v>0</v>
      </c>
      <c r="H62" s="1">
        <v>20</v>
      </c>
      <c r="I62" s="1">
        <v>2.8000000000000001E-2</v>
      </c>
      <c r="J62">
        <v>1</v>
      </c>
      <c r="V62">
        <v>7</v>
      </c>
      <c r="AU62" s="1">
        <v>10</v>
      </c>
      <c r="AV62" t="s">
        <v>941</v>
      </c>
      <c r="AW62" s="1" t="s">
        <v>106</v>
      </c>
      <c r="AX62" s="1" t="s">
        <v>54</v>
      </c>
      <c r="AY62" s="1" t="s">
        <v>80</v>
      </c>
      <c r="AZ62" t="s">
        <v>942</v>
      </c>
      <c r="BA62" s="1" t="s">
        <v>82</v>
      </c>
      <c r="BB62" s="1" t="s">
        <v>58</v>
      </c>
      <c r="BC62" s="1" t="s">
        <v>59</v>
      </c>
      <c r="BD62" s="1" t="s">
        <v>60</v>
      </c>
    </row>
    <row r="63" spans="1:56" ht="15.75" customHeight="1">
      <c r="A63" s="3">
        <v>10013</v>
      </c>
      <c r="B63">
        <v>1</v>
      </c>
      <c r="C63">
        <v>0</v>
      </c>
      <c r="D63">
        <v>1</v>
      </c>
      <c r="E63" s="1">
        <f t="shared" si="1"/>
        <v>1</v>
      </c>
      <c r="H63" s="1">
        <v>20</v>
      </c>
      <c r="I63" s="1">
        <v>3.2000000000000001E-2</v>
      </c>
      <c r="J63">
        <v>1</v>
      </c>
      <c r="V63">
        <v>7</v>
      </c>
      <c r="AU63" s="1">
        <v>10</v>
      </c>
      <c r="AV63" t="s">
        <v>941</v>
      </c>
      <c r="AW63" s="1" t="s">
        <v>108</v>
      </c>
      <c r="AX63" s="1" t="s">
        <v>54</v>
      </c>
      <c r="AY63" s="1" t="s">
        <v>80</v>
      </c>
      <c r="AZ63" t="s">
        <v>942</v>
      </c>
      <c r="BA63" s="1" t="s">
        <v>83</v>
      </c>
      <c r="BB63" s="1" t="s">
        <v>58</v>
      </c>
      <c r="BC63" s="1" t="s">
        <v>59</v>
      </c>
      <c r="BD63" s="1" t="s">
        <v>60</v>
      </c>
    </row>
    <row r="64" spans="1:56" ht="15.75" customHeight="1">
      <c r="A64" s="3">
        <v>10013</v>
      </c>
      <c r="B64">
        <v>1</v>
      </c>
      <c r="C64">
        <v>0</v>
      </c>
      <c r="D64">
        <v>1</v>
      </c>
      <c r="E64" s="1">
        <f t="shared" si="1"/>
        <v>2</v>
      </c>
      <c r="H64" s="1">
        <v>20</v>
      </c>
      <c r="I64" s="1">
        <v>3.5999999999999997E-2</v>
      </c>
      <c r="J64">
        <v>1</v>
      </c>
      <c r="V64">
        <v>7</v>
      </c>
      <c r="AU64" s="1">
        <v>15</v>
      </c>
      <c r="AV64" t="s">
        <v>941</v>
      </c>
      <c r="AW64" s="1" t="s">
        <v>109</v>
      </c>
      <c r="AX64" s="1" t="s">
        <v>54</v>
      </c>
      <c r="AY64" s="1" t="s">
        <v>80</v>
      </c>
      <c r="AZ64" t="s">
        <v>942</v>
      </c>
      <c r="BA64" s="1" t="s">
        <v>83</v>
      </c>
      <c r="BB64" s="1" t="s">
        <v>58</v>
      </c>
      <c r="BC64" s="1" t="s">
        <v>59</v>
      </c>
      <c r="BD64" s="1" t="s">
        <v>60</v>
      </c>
    </row>
    <row r="65" spans="1:56" ht="15.75" customHeight="1">
      <c r="A65" s="3">
        <v>10013</v>
      </c>
      <c r="B65">
        <v>1</v>
      </c>
      <c r="C65">
        <v>0</v>
      </c>
      <c r="D65">
        <v>1</v>
      </c>
      <c r="E65" s="1">
        <f t="shared" si="1"/>
        <v>3</v>
      </c>
      <c r="H65" s="1">
        <v>20</v>
      </c>
      <c r="I65" s="1">
        <v>0.04</v>
      </c>
      <c r="J65">
        <v>1</v>
      </c>
      <c r="V65">
        <v>13</v>
      </c>
      <c r="AU65" s="1">
        <v>17</v>
      </c>
      <c r="AV65" t="s">
        <v>941</v>
      </c>
      <c r="AW65" s="1" t="s">
        <v>111</v>
      </c>
      <c r="AX65" s="1" t="s">
        <v>54</v>
      </c>
      <c r="AY65" s="1" t="s">
        <v>80</v>
      </c>
      <c r="AZ65" t="s">
        <v>943</v>
      </c>
      <c r="BA65" s="1" t="s">
        <v>87</v>
      </c>
      <c r="BB65" s="1" t="s">
        <v>58</v>
      </c>
      <c r="BC65" s="1" t="s">
        <v>59</v>
      </c>
      <c r="BD65" s="1" t="s">
        <v>60</v>
      </c>
    </row>
    <row r="66" spans="1:56" ht="15.75" customHeight="1">
      <c r="A66" s="3">
        <v>10013</v>
      </c>
      <c r="B66">
        <v>1</v>
      </c>
      <c r="C66">
        <v>0</v>
      </c>
      <c r="D66">
        <v>1</v>
      </c>
      <c r="E66" s="1">
        <f t="shared" si="1"/>
        <v>4</v>
      </c>
      <c r="H66" s="1">
        <v>20</v>
      </c>
      <c r="I66" s="1">
        <v>4.2999999999999997E-2</v>
      </c>
      <c r="J66">
        <v>3</v>
      </c>
      <c r="V66">
        <v>13</v>
      </c>
      <c r="AU66" s="1">
        <v>20</v>
      </c>
      <c r="AV66" t="s">
        <v>941</v>
      </c>
      <c r="AW66" s="1" t="s">
        <v>112</v>
      </c>
      <c r="AX66" s="1" t="s">
        <v>54</v>
      </c>
      <c r="AY66" s="1" t="s">
        <v>88</v>
      </c>
      <c r="AZ66" t="s">
        <v>943</v>
      </c>
      <c r="BA66" s="1" t="s">
        <v>89</v>
      </c>
      <c r="BB66" s="1" t="s">
        <v>58</v>
      </c>
      <c r="BC66" s="1" t="s">
        <v>59</v>
      </c>
      <c r="BD66" s="1" t="s">
        <v>60</v>
      </c>
    </row>
    <row r="67" spans="1:56" ht="15.75" customHeight="1"/>
    <row r="68" spans="1:56" ht="15.75" customHeight="1"/>
    <row r="69" spans="1:56" ht="15.75" customHeight="1"/>
    <row r="70" spans="1:56" ht="15.75" customHeight="1"/>
    <row r="71" spans="1:56" ht="15.75" customHeight="1"/>
    <row r="72" spans="1:56" ht="15.75" customHeight="1"/>
    <row r="73" spans="1:56" ht="15.75" customHeight="1"/>
    <row r="74" spans="1:56" ht="15.75" customHeight="1"/>
    <row r="75" spans="1:56" ht="15.75" customHeight="1"/>
    <row r="76" spans="1:56" ht="15.75" customHeight="1"/>
    <row r="77" spans="1:56" ht="15.75" customHeight="1"/>
    <row r="78" spans="1:56" ht="15.75" customHeight="1"/>
    <row r="79" spans="1:56" ht="15.75" customHeight="1"/>
    <row r="80" spans="1:5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00"/>
  <sheetViews>
    <sheetView tabSelected="1" workbookViewId="0">
      <pane ySplit="1" topLeftCell="A327" activePane="bottomLeft" state="frozen"/>
      <selection pane="bottomLeft" activeCell="O356" sqref="O356"/>
    </sheetView>
  </sheetViews>
  <sheetFormatPr defaultColWidth="12.625" defaultRowHeight="15" customHeight="1"/>
  <cols>
    <col min="1" max="38" width="8.625" customWidth="1"/>
    <col min="39" max="39" width="11.375" customWidth="1"/>
    <col min="40" max="40" width="12" customWidth="1"/>
    <col min="41" max="41" width="10.25" customWidth="1"/>
    <col min="42" max="42" width="12" customWidth="1"/>
    <col min="43" max="47" width="8.625" customWidth="1"/>
    <col min="48" max="48" width="38.75" customWidth="1"/>
    <col min="49" max="49" width="38.25" customWidth="1"/>
    <col min="50" max="50" width="70.875" customWidth="1"/>
    <col min="51" max="51" width="77.125" customWidth="1"/>
    <col min="52" max="52" width="75.25" customWidth="1"/>
    <col min="53" max="53" width="64.625" customWidth="1"/>
    <col min="54" max="55" width="21.375" customWidth="1"/>
    <col min="56" max="56" width="179.375" customWidth="1"/>
  </cols>
  <sheetData>
    <row r="1" spans="1:56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t="s">
        <v>1136</v>
      </c>
      <c r="Q1" s="1" t="s">
        <v>15</v>
      </c>
      <c r="R1" s="1" t="s">
        <v>1121</v>
      </c>
      <c r="S1" s="1" t="s">
        <v>16</v>
      </c>
      <c r="T1" t="s">
        <v>1143</v>
      </c>
      <c r="U1" s="1" t="s">
        <v>17</v>
      </c>
      <c r="V1" s="2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2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</row>
    <row r="2" spans="1:56" ht="14.25">
      <c r="A2" s="1">
        <v>20001</v>
      </c>
      <c r="B2" s="1">
        <v>2</v>
      </c>
      <c r="C2" s="1">
        <v>0</v>
      </c>
      <c r="D2" s="1">
        <v>2</v>
      </c>
      <c r="E2" s="1">
        <v>0</v>
      </c>
      <c r="F2" s="1">
        <v>10.5</v>
      </c>
      <c r="I2" s="1">
        <v>4.3999999999999997E-2</v>
      </c>
      <c r="K2" s="1">
        <v>7</v>
      </c>
      <c r="AT2" s="1">
        <v>9</v>
      </c>
      <c r="AU2" s="1">
        <v>22</v>
      </c>
      <c r="AV2" s="1" t="s">
        <v>138</v>
      </c>
      <c r="AW2" s="1" t="s">
        <v>139</v>
      </c>
      <c r="AX2" s="1" t="s">
        <v>140</v>
      </c>
      <c r="AY2" s="1" t="s">
        <v>141</v>
      </c>
      <c r="AZ2" s="1" t="s">
        <v>1092</v>
      </c>
      <c r="BA2" s="1" t="s">
        <v>142</v>
      </c>
      <c r="BB2" s="1" t="s">
        <v>143</v>
      </c>
      <c r="BC2" s="1" t="s">
        <v>59</v>
      </c>
      <c r="BD2" s="1" t="s">
        <v>144</v>
      </c>
    </row>
    <row r="3" spans="1:56" ht="14.25">
      <c r="A3" s="1">
        <v>20001</v>
      </c>
      <c r="B3" s="1">
        <v>2</v>
      </c>
      <c r="C3" s="1">
        <v>0</v>
      </c>
      <c r="D3" s="1">
        <v>2</v>
      </c>
      <c r="E3" s="1">
        <v>1</v>
      </c>
      <c r="F3" s="1">
        <v>21</v>
      </c>
      <c r="I3" s="1">
        <v>4.9000000000000002E-2</v>
      </c>
      <c r="K3" s="1">
        <v>7</v>
      </c>
      <c r="AT3" s="1">
        <v>9</v>
      </c>
      <c r="AU3" s="1">
        <v>22</v>
      </c>
      <c r="AV3" s="1" t="s">
        <v>138</v>
      </c>
      <c r="AW3" s="1" t="s">
        <v>145</v>
      </c>
      <c r="AX3" s="1" t="s">
        <v>146</v>
      </c>
      <c r="AY3" s="1" t="s">
        <v>141</v>
      </c>
      <c r="AZ3" s="1" t="s">
        <v>1092</v>
      </c>
      <c r="BA3" s="1" t="s">
        <v>142</v>
      </c>
      <c r="BB3" s="1" t="s">
        <v>143</v>
      </c>
      <c r="BC3" s="1" t="s">
        <v>59</v>
      </c>
      <c r="BD3" s="1" t="s">
        <v>144</v>
      </c>
    </row>
    <row r="4" spans="1:56" ht="14.25">
      <c r="A4" s="1">
        <v>20001</v>
      </c>
      <c r="B4" s="1">
        <v>2</v>
      </c>
      <c r="C4" s="1">
        <v>0</v>
      </c>
      <c r="D4" s="1">
        <v>2</v>
      </c>
      <c r="E4" s="1">
        <v>2</v>
      </c>
      <c r="F4" s="1">
        <v>21</v>
      </c>
      <c r="I4" s="1">
        <v>5.3999999999999999E-2</v>
      </c>
      <c r="K4" s="1">
        <v>7</v>
      </c>
      <c r="AT4" s="1">
        <v>9</v>
      </c>
      <c r="AU4" s="1">
        <v>26</v>
      </c>
      <c r="AV4" s="1" t="s">
        <v>138</v>
      </c>
      <c r="AW4" s="1" t="s">
        <v>147</v>
      </c>
      <c r="AX4" s="1" t="s">
        <v>146</v>
      </c>
      <c r="AY4" s="1" t="s">
        <v>141</v>
      </c>
      <c r="AZ4" s="1" t="s">
        <v>1092</v>
      </c>
      <c r="BA4" s="1" t="s">
        <v>142</v>
      </c>
      <c r="BB4" s="1" t="s">
        <v>148</v>
      </c>
      <c r="BC4" s="1" t="s">
        <v>59</v>
      </c>
      <c r="BD4" s="1" t="s">
        <v>144</v>
      </c>
    </row>
    <row r="5" spans="1:56" ht="14.25">
      <c r="A5" s="1">
        <v>20001</v>
      </c>
      <c r="B5" s="1">
        <v>2</v>
      </c>
      <c r="C5" s="1">
        <v>0</v>
      </c>
      <c r="D5" s="1">
        <v>2</v>
      </c>
      <c r="E5" s="1">
        <v>3</v>
      </c>
      <c r="F5" s="1">
        <v>21</v>
      </c>
      <c r="I5" s="1">
        <v>5.8999999999999997E-2</v>
      </c>
      <c r="K5" s="1">
        <v>7</v>
      </c>
      <c r="AT5" s="1">
        <v>17</v>
      </c>
      <c r="AU5" s="1">
        <v>26</v>
      </c>
      <c r="AV5" s="1" t="s">
        <v>138</v>
      </c>
      <c r="AW5" s="1" t="s">
        <v>149</v>
      </c>
      <c r="AX5" s="1" t="s">
        <v>146</v>
      </c>
      <c r="AY5" s="1" t="s">
        <v>141</v>
      </c>
      <c r="AZ5" s="1" t="s">
        <v>1093</v>
      </c>
      <c r="BA5" s="1" t="s">
        <v>142</v>
      </c>
      <c r="BB5" s="1" t="s">
        <v>148</v>
      </c>
      <c r="BC5" s="1" t="s">
        <v>59</v>
      </c>
      <c r="BD5" s="1" t="s">
        <v>144</v>
      </c>
    </row>
    <row r="6" spans="1:56" ht="14.25">
      <c r="A6" s="1">
        <v>20001</v>
      </c>
      <c r="B6" s="1">
        <v>2</v>
      </c>
      <c r="C6" s="1">
        <v>0</v>
      </c>
      <c r="D6" s="1">
        <v>2</v>
      </c>
      <c r="E6" s="1">
        <v>4</v>
      </c>
      <c r="F6" s="1">
        <v>21</v>
      </c>
      <c r="I6" s="1">
        <v>6.4000000000000001E-2</v>
      </c>
      <c r="K6" s="1">
        <v>13</v>
      </c>
      <c r="AT6" s="1">
        <v>17</v>
      </c>
      <c r="AU6" s="1">
        <v>30</v>
      </c>
      <c r="AV6" s="1" t="s">
        <v>138</v>
      </c>
      <c r="AW6" s="1" t="s">
        <v>150</v>
      </c>
      <c r="AX6" s="1" t="s">
        <v>146</v>
      </c>
      <c r="AY6" s="1" t="s">
        <v>151</v>
      </c>
      <c r="AZ6" s="1" t="s">
        <v>1093</v>
      </c>
      <c r="BA6" s="1" t="s">
        <v>142</v>
      </c>
      <c r="BB6" s="1" t="s">
        <v>152</v>
      </c>
      <c r="BC6" s="1" t="s">
        <v>59</v>
      </c>
      <c r="BD6" s="1" t="s">
        <v>144</v>
      </c>
    </row>
    <row r="7" spans="1:56" ht="14.25">
      <c r="A7" s="1">
        <f t="shared" ref="A7:A171" si="0">A2+1</f>
        <v>20002</v>
      </c>
      <c r="B7" s="1">
        <v>0</v>
      </c>
      <c r="C7" s="1">
        <v>0</v>
      </c>
      <c r="D7" s="1">
        <v>2</v>
      </c>
      <c r="E7" s="1">
        <f t="shared" ref="E7:E246" si="1">E2</f>
        <v>0</v>
      </c>
      <c r="F7" s="1">
        <v>10.5</v>
      </c>
      <c r="I7" s="1">
        <v>4.3999999999999997E-2</v>
      </c>
      <c r="K7" s="1">
        <v>7</v>
      </c>
      <c r="AT7" s="1">
        <v>9</v>
      </c>
      <c r="AU7" s="1">
        <v>22</v>
      </c>
      <c r="AV7" s="1" t="s">
        <v>153</v>
      </c>
      <c r="AW7" s="1" t="s">
        <v>154</v>
      </c>
      <c r="AX7" s="1" t="s">
        <v>155</v>
      </c>
      <c r="AY7" s="1" t="s">
        <v>156</v>
      </c>
      <c r="AZ7" s="1" t="s">
        <v>1096</v>
      </c>
      <c r="BA7" s="1" t="s">
        <v>157</v>
      </c>
      <c r="BB7" s="1" t="s">
        <v>158</v>
      </c>
      <c r="BC7" s="1" t="s">
        <v>59</v>
      </c>
      <c r="BD7" s="1" t="s">
        <v>159</v>
      </c>
    </row>
    <row r="8" spans="1:56" ht="14.25">
      <c r="A8" s="1">
        <f t="shared" si="0"/>
        <v>20002</v>
      </c>
      <c r="B8" s="1">
        <v>0</v>
      </c>
      <c r="C8" s="1">
        <v>0</v>
      </c>
      <c r="D8" s="1">
        <v>2</v>
      </c>
      <c r="E8" s="1">
        <f t="shared" si="1"/>
        <v>1</v>
      </c>
      <c r="F8" s="1">
        <v>21</v>
      </c>
      <c r="I8" s="1">
        <v>4.9000000000000002E-2</v>
      </c>
      <c r="K8" s="1">
        <v>7</v>
      </c>
      <c r="AT8" s="1">
        <v>9</v>
      </c>
      <c r="AU8" s="1">
        <v>22</v>
      </c>
      <c r="AV8" s="1" t="s">
        <v>153</v>
      </c>
      <c r="AW8" s="1" t="s">
        <v>160</v>
      </c>
      <c r="AX8" s="1" t="s">
        <v>161</v>
      </c>
      <c r="AY8" s="1" t="s">
        <v>156</v>
      </c>
      <c r="AZ8" s="1" t="s">
        <v>1096</v>
      </c>
      <c r="BA8" s="1" t="s">
        <v>157</v>
      </c>
      <c r="BB8" s="1" t="s">
        <v>158</v>
      </c>
      <c r="BC8" s="1" t="s">
        <v>59</v>
      </c>
      <c r="BD8" s="1" t="s">
        <v>159</v>
      </c>
    </row>
    <row r="9" spans="1:56" ht="14.25">
      <c r="A9" s="1">
        <f t="shared" si="0"/>
        <v>20002</v>
      </c>
      <c r="B9" s="1">
        <v>0</v>
      </c>
      <c r="C9" s="1">
        <v>0</v>
      </c>
      <c r="D9" s="1">
        <v>2</v>
      </c>
      <c r="E9" s="1">
        <f t="shared" si="1"/>
        <v>2</v>
      </c>
      <c r="F9" s="1">
        <v>21</v>
      </c>
      <c r="I9" s="1">
        <v>5.3999999999999999E-2</v>
      </c>
      <c r="K9" s="1">
        <v>7</v>
      </c>
      <c r="AT9" s="1">
        <v>9</v>
      </c>
      <c r="AU9" s="1">
        <v>26</v>
      </c>
      <c r="AV9" s="1" t="s">
        <v>153</v>
      </c>
      <c r="AW9" s="1" t="s">
        <v>162</v>
      </c>
      <c r="AX9" s="1" t="s">
        <v>161</v>
      </c>
      <c r="AY9" s="1" t="s">
        <v>156</v>
      </c>
      <c r="AZ9" s="1" t="s">
        <v>1096</v>
      </c>
      <c r="BA9" s="1" t="s">
        <v>157</v>
      </c>
      <c r="BB9" s="1" t="s">
        <v>163</v>
      </c>
      <c r="BC9" s="1" t="s">
        <v>59</v>
      </c>
      <c r="BD9" s="1" t="s">
        <v>159</v>
      </c>
    </row>
    <row r="10" spans="1:56" ht="14.25">
      <c r="A10" s="1">
        <f t="shared" si="0"/>
        <v>20002</v>
      </c>
      <c r="B10" s="1">
        <v>0</v>
      </c>
      <c r="C10" s="1">
        <v>0</v>
      </c>
      <c r="D10" s="1">
        <v>2</v>
      </c>
      <c r="E10" s="1">
        <f t="shared" si="1"/>
        <v>3</v>
      </c>
      <c r="F10" s="1">
        <v>21</v>
      </c>
      <c r="I10" s="1">
        <v>5.8999999999999997E-2</v>
      </c>
      <c r="K10" s="1">
        <v>7</v>
      </c>
      <c r="AT10" s="1">
        <v>17</v>
      </c>
      <c r="AU10" s="1">
        <v>26</v>
      </c>
      <c r="AV10" s="1" t="s">
        <v>153</v>
      </c>
      <c r="AW10" s="1" t="s">
        <v>164</v>
      </c>
      <c r="AX10" s="1" t="s">
        <v>161</v>
      </c>
      <c r="AY10" s="1" t="s">
        <v>156</v>
      </c>
      <c r="AZ10" s="1" t="s">
        <v>1089</v>
      </c>
      <c r="BA10" s="1" t="s">
        <v>157</v>
      </c>
      <c r="BB10" s="1" t="s">
        <v>163</v>
      </c>
      <c r="BC10" s="1" t="s">
        <v>59</v>
      </c>
      <c r="BD10" s="1" t="s">
        <v>159</v>
      </c>
    </row>
    <row r="11" spans="1:56" ht="14.25">
      <c r="A11" s="1">
        <f t="shared" si="0"/>
        <v>20002</v>
      </c>
      <c r="B11" s="1">
        <v>0</v>
      </c>
      <c r="C11" s="1">
        <v>0</v>
      </c>
      <c r="D11" s="1">
        <v>2</v>
      </c>
      <c r="E11" s="1">
        <f t="shared" si="1"/>
        <v>4</v>
      </c>
      <c r="F11" s="1">
        <v>21</v>
      </c>
      <c r="I11" s="1">
        <v>6.4000000000000001E-2</v>
      </c>
      <c r="K11" s="1">
        <v>13</v>
      </c>
      <c r="AT11" s="1">
        <v>17</v>
      </c>
      <c r="AU11" s="1">
        <v>30</v>
      </c>
      <c r="AV11" s="1" t="s">
        <v>153</v>
      </c>
      <c r="AW11" s="1" t="s">
        <v>165</v>
      </c>
      <c r="AX11" s="1" t="s">
        <v>161</v>
      </c>
      <c r="AY11" s="1" t="s">
        <v>166</v>
      </c>
      <c r="AZ11" s="1" t="s">
        <v>1089</v>
      </c>
      <c r="BA11" s="1" t="s">
        <v>157</v>
      </c>
      <c r="BB11" s="1" t="s">
        <v>167</v>
      </c>
      <c r="BC11" s="1" t="s">
        <v>59</v>
      </c>
      <c r="BD11" s="1" t="s">
        <v>159</v>
      </c>
    </row>
    <row r="12" spans="1:56">
      <c r="A12" s="1">
        <f t="shared" si="0"/>
        <v>20003</v>
      </c>
      <c r="B12" s="1">
        <v>0</v>
      </c>
      <c r="C12" s="1">
        <v>0</v>
      </c>
      <c r="D12" s="1">
        <v>2</v>
      </c>
      <c r="E12" s="1">
        <f t="shared" si="1"/>
        <v>0</v>
      </c>
      <c r="I12" s="1">
        <v>4.3999999999999997E-2</v>
      </c>
      <c r="J12" s="1">
        <v>2</v>
      </c>
      <c r="O12" s="1">
        <v>6</v>
      </c>
      <c r="P12" s="1"/>
      <c r="AU12" s="1">
        <v>22</v>
      </c>
      <c r="AV12" s="1" t="s">
        <v>168</v>
      </c>
      <c r="AW12" s="1" t="s">
        <v>154</v>
      </c>
      <c r="AX12" s="1" t="s">
        <v>169</v>
      </c>
      <c r="AY12" s="1" t="s">
        <v>170</v>
      </c>
      <c r="AZ12" s="1" t="s">
        <v>171</v>
      </c>
      <c r="BA12" s="1" t="s">
        <v>172</v>
      </c>
      <c r="BB12" s="1" t="s">
        <v>158</v>
      </c>
      <c r="BC12" s="1" t="s">
        <v>59</v>
      </c>
      <c r="BD12" s="4" t="s">
        <v>173</v>
      </c>
    </row>
    <row r="13" spans="1:56">
      <c r="A13" s="1">
        <f t="shared" si="0"/>
        <v>20003</v>
      </c>
      <c r="B13" s="1">
        <v>0</v>
      </c>
      <c r="C13" s="1">
        <v>0</v>
      </c>
      <c r="D13" s="1">
        <v>2</v>
      </c>
      <c r="E13" s="1">
        <f t="shared" si="1"/>
        <v>1</v>
      </c>
      <c r="I13" s="1">
        <v>4.9000000000000002E-2</v>
      </c>
      <c r="J13" s="1">
        <v>2</v>
      </c>
      <c r="O13" s="1">
        <v>6</v>
      </c>
      <c r="P13" s="1"/>
      <c r="AU13" s="1">
        <v>22</v>
      </c>
      <c r="AV13" s="1" t="s">
        <v>168</v>
      </c>
      <c r="AW13" s="1" t="s">
        <v>160</v>
      </c>
      <c r="AX13" s="1" t="s">
        <v>174</v>
      </c>
      <c r="AY13" s="1" t="s">
        <v>170</v>
      </c>
      <c r="AZ13" s="1" t="s">
        <v>171</v>
      </c>
      <c r="BA13" s="1" t="s">
        <v>172</v>
      </c>
      <c r="BB13" s="1" t="s">
        <v>158</v>
      </c>
      <c r="BC13" s="1" t="s">
        <v>59</v>
      </c>
      <c r="BD13" s="4" t="s">
        <v>173</v>
      </c>
    </row>
    <row r="14" spans="1:56">
      <c r="A14" s="1">
        <f t="shared" si="0"/>
        <v>20003</v>
      </c>
      <c r="B14" s="1">
        <v>0</v>
      </c>
      <c r="C14" s="1">
        <v>0</v>
      </c>
      <c r="D14" s="1">
        <v>2</v>
      </c>
      <c r="E14" s="1">
        <f t="shared" si="1"/>
        <v>2</v>
      </c>
      <c r="I14" s="1">
        <v>5.3999999999999999E-2</v>
      </c>
      <c r="J14" s="1">
        <v>2</v>
      </c>
      <c r="O14" s="1">
        <v>6</v>
      </c>
      <c r="P14" s="1"/>
      <c r="AU14" s="1">
        <v>26</v>
      </c>
      <c r="AV14" s="1" t="s">
        <v>168</v>
      </c>
      <c r="AW14" s="1" t="s">
        <v>162</v>
      </c>
      <c r="AX14" s="1" t="s">
        <v>174</v>
      </c>
      <c r="AY14" s="1" t="s">
        <v>170</v>
      </c>
      <c r="AZ14" s="1" t="s">
        <v>171</v>
      </c>
      <c r="BA14" s="1" t="s">
        <v>172</v>
      </c>
      <c r="BB14" s="1" t="s">
        <v>163</v>
      </c>
      <c r="BC14" s="1" t="s">
        <v>59</v>
      </c>
      <c r="BD14" s="4" t="s">
        <v>173</v>
      </c>
    </row>
    <row r="15" spans="1:56">
      <c r="A15" s="1">
        <f t="shared" si="0"/>
        <v>20003</v>
      </c>
      <c r="B15" s="1">
        <v>0</v>
      </c>
      <c r="C15" s="1">
        <v>0</v>
      </c>
      <c r="D15" s="1">
        <v>2</v>
      </c>
      <c r="E15" s="1">
        <f t="shared" si="1"/>
        <v>3</v>
      </c>
      <c r="I15" s="1">
        <v>5.8999999999999997E-2</v>
      </c>
      <c r="J15" s="1">
        <v>2</v>
      </c>
      <c r="O15" s="1">
        <v>11</v>
      </c>
      <c r="P15" s="1"/>
      <c r="AU15" s="1">
        <v>26</v>
      </c>
      <c r="AV15" s="1" t="s">
        <v>168</v>
      </c>
      <c r="AW15" s="1" t="s">
        <v>164</v>
      </c>
      <c r="AX15" s="1" t="s">
        <v>174</v>
      </c>
      <c r="AY15" s="1" t="s">
        <v>170</v>
      </c>
      <c r="AZ15" s="1" t="s">
        <v>175</v>
      </c>
      <c r="BA15" s="1" t="s">
        <v>172</v>
      </c>
      <c r="BB15" s="1" t="s">
        <v>163</v>
      </c>
      <c r="BC15" s="1" t="s">
        <v>59</v>
      </c>
      <c r="BD15" s="4" t="s">
        <v>173</v>
      </c>
    </row>
    <row r="16" spans="1:56">
      <c r="A16" s="1">
        <f t="shared" si="0"/>
        <v>20003</v>
      </c>
      <c r="B16" s="1">
        <v>0</v>
      </c>
      <c r="C16" s="1">
        <v>0</v>
      </c>
      <c r="D16" s="1">
        <v>2</v>
      </c>
      <c r="E16" s="1">
        <f t="shared" si="1"/>
        <v>4</v>
      </c>
      <c r="I16" s="1">
        <v>6.4000000000000001E-2</v>
      </c>
      <c r="J16" s="1">
        <v>4</v>
      </c>
      <c r="O16" s="1">
        <v>11</v>
      </c>
      <c r="P16" s="1"/>
      <c r="AU16" s="1">
        <v>30</v>
      </c>
      <c r="AV16" s="1" t="s">
        <v>168</v>
      </c>
      <c r="AW16" s="1" t="s">
        <v>165</v>
      </c>
      <c r="AX16" s="1" t="s">
        <v>174</v>
      </c>
      <c r="AY16" s="1" t="s">
        <v>176</v>
      </c>
      <c r="AZ16" s="1" t="s">
        <v>175</v>
      </c>
      <c r="BA16" s="1" t="s">
        <v>172</v>
      </c>
      <c r="BB16" s="1" t="s">
        <v>167</v>
      </c>
      <c r="BC16" s="1" t="s">
        <v>59</v>
      </c>
      <c r="BD16" s="4" t="s">
        <v>173</v>
      </c>
    </row>
    <row r="17" spans="1:56" ht="14.25">
      <c r="A17" s="1">
        <f t="shared" si="0"/>
        <v>20004</v>
      </c>
      <c r="B17" s="1">
        <v>0</v>
      </c>
      <c r="C17" s="1">
        <v>0</v>
      </c>
      <c r="D17" s="1">
        <v>2</v>
      </c>
      <c r="E17" s="1">
        <f t="shared" si="1"/>
        <v>0</v>
      </c>
      <c r="G17" s="1">
        <v>37</v>
      </c>
      <c r="H17" s="1">
        <v>15</v>
      </c>
      <c r="M17" s="1">
        <v>7</v>
      </c>
      <c r="U17" s="1">
        <v>3</v>
      </c>
      <c r="AU17" s="1">
        <v>22</v>
      </c>
      <c r="AV17" s="1" t="s">
        <v>177</v>
      </c>
      <c r="AW17" s="1" t="s">
        <v>927</v>
      </c>
      <c r="AX17" s="1" t="s">
        <v>178</v>
      </c>
      <c r="AY17" s="1" t="s">
        <v>179</v>
      </c>
      <c r="AZ17" s="1" t="s">
        <v>118</v>
      </c>
      <c r="BA17" s="1" t="s">
        <v>180</v>
      </c>
      <c r="BB17" s="1" t="s">
        <v>158</v>
      </c>
      <c r="BC17" s="1" t="s">
        <v>59</v>
      </c>
      <c r="BD17" s="1" t="s">
        <v>181</v>
      </c>
    </row>
    <row r="18" spans="1:56" ht="14.25">
      <c r="A18" s="1">
        <f t="shared" si="0"/>
        <v>20004</v>
      </c>
      <c r="B18" s="1">
        <v>0</v>
      </c>
      <c r="C18" s="1">
        <v>0</v>
      </c>
      <c r="D18" s="1">
        <v>2</v>
      </c>
      <c r="E18" s="1">
        <f t="shared" si="1"/>
        <v>1</v>
      </c>
      <c r="G18" s="1">
        <v>40</v>
      </c>
      <c r="H18" s="1">
        <v>30</v>
      </c>
      <c r="M18" s="1">
        <v>7</v>
      </c>
      <c r="U18" s="1">
        <v>3</v>
      </c>
      <c r="AU18" s="1">
        <v>22</v>
      </c>
      <c r="AV18" s="1" t="s">
        <v>177</v>
      </c>
      <c r="AW18" s="1" t="s">
        <v>925</v>
      </c>
      <c r="AX18" s="1" t="s">
        <v>182</v>
      </c>
      <c r="AY18" s="1" t="s">
        <v>179</v>
      </c>
      <c r="AZ18" s="1" t="s">
        <v>118</v>
      </c>
      <c r="BA18" s="1" t="s">
        <v>180</v>
      </c>
      <c r="BB18" s="1" t="s">
        <v>158</v>
      </c>
      <c r="BC18" s="1" t="s">
        <v>59</v>
      </c>
      <c r="BD18" s="1" t="s">
        <v>181</v>
      </c>
    </row>
    <row r="19" spans="1:56" ht="14.25">
      <c r="A19" s="1">
        <f t="shared" si="0"/>
        <v>20004</v>
      </c>
      <c r="B19" s="1">
        <v>0</v>
      </c>
      <c r="C19" s="1">
        <v>0</v>
      </c>
      <c r="D19" s="1">
        <v>2</v>
      </c>
      <c r="E19" s="1">
        <f t="shared" si="1"/>
        <v>2</v>
      </c>
      <c r="G19" s="1">
        <v>43</v>
      </c>
      <c r="H19" s="1">
        <v>30</v>
      </c>
      <c r="M19" s="1">
        <v>7</v>
      </c>
      <c r="U19" s="1">
        <v>3</v>
      </c>
      <c r="AU19" s="1">
        <v>26</v>
      </c>
      <c r="AV19" s="1" t="s">
        <v>177</v>
      </c>
      <c r="AW19" s="1" t="s">
        <v>929</v>
      </c>
      <c r="AX19" s="1" t="s">
        <v>182</v>
      </c>
      <c r="AY19" s="1" t="s">
        <v>179</v>
      </c>
      <c r="AZ19" s="1" t="s">
        <v>118</v>
      </c>
      <c r="BA19" s="1" t="s">
        <v>180</v>
      </c>
      <c r="BB19" s="1" t="s">
        <v>163</v>
      </c>
      <c r="BC19" s="1" t="s">
        <v>59</v>
      </c>
      <c r="BD19" s="1" t="s">
        <v>181</v>
      </c>
    </row>
    <row r="20" spans="1:56" ht="14.25">
      <c r="A20" s="1">
        <f t="shared" si="0"/>
        <v>20004</v>
      </c>
      <c r="B20" s="1">
        <v>0</v>
      </c>
      <c r="C20" s="1">
        <v>0</v>
      </c>
      <c r="D20" s="1">
        <v>2</v>
      </c>
      <c r="E20" s="1">
        <f t="shared" si="1"/>
        <v>3</v>
      </c>
      <c r="G20" s="1">
        <v>46</v>
      </c>
      <c r="H20" s="1">
        <v>30</v>
      </c>
      <c r="M20" s="1">
        <v>7</v>
      </c>
      <c r="U20" s="1">
        <v>5</v>
      </c>
      <c r="AU20" s="1">
        <v>26</v>
      </c>
      <c r="AV20" s="1" t="s">
        <v>177</v>
      </c>
      <c r="AW20" s="1" t="s">
        <v>931</v>
      </c>
      <c r="AX20" s="1" t="s">
        <v>182</v>
      </c>
      <c r="AY20" s="1" t="s">
        <v>179</v>
      </c>
      <c r="AZ20" s="1" t="s">
        <v>183</v>
      </c>
      <c r="BA20" s="1" t="s">
        <v>180</v>
      </c>
      <c r="BB20" s="1" t="s">
        <v>163</v>
      </c>
      <c r="BC20" s="1" t="s">
        <v>59</v>
      </c>
      <c r="BD20" s="1" t="s">
        <v>181</v>
      </c>
    </row>
    <row r="21" spans="1:56" ht="15.75" customHeight="1">
      <c r="A21" s="1">
        <f t="shared" si="0"/>
        <v>20004</v>
      </c>
      <c r="B21" s="1">
        <v>0</v>
      </c>
      <c r="C21" s="1">
        <v>0</v>
      </c>
      <c r="D21" s="1">
        <v>2</v>
      </c>
      <c r="E21" s="1">
        <f t="shared" si="1"/>
        <v>4</v>
      </c>
      <c r="G21" s="1">
        <v>49</v>
      </c>
      <c r="H21" s="1">
        <v>30</v>
      </c>
      <c r="M21" s="1">
        <v>13</v>
      </c>
      <c r="U21" s="1">
        <v>5</v>
      </c>
      <c r="AU21" s="1">
        <v>30</v>
      </c>
      <c r="AV21" s="1" t="s">
        <v>177</v>
      </c>
      <c r="AW21" s="1" t="s">
        <v>933</v>
      </c>
      <c r="AX21" s="1" t="s">
        <v>182</v>
      </c>
      <c r="AY21" s="1" t="s">
        <v>184</v>
      </c>
      <c r="AZ21" s="1" t="s">
        <v>183</v>
      </c>
      <c r="BA21" s="1" t="s">
        <v>180</v>
      </c>
      <c r="BB21" s="1" t="s">
        <v>167</v>
      </c>
      <c r="BC21" s="1" t="s">
        <v>59</v>
      </c>
      <c r="BD21" s="1" t="s">
        <v>181</v>
      </c>
    </row>
    <row r="22" spans="1:56" ht="15.75" customHeight="1">
      <c r="A22" s="1">
        <f t="shared" si="0"/>
        <v>20005</v>
      </c>
      <c r="B22" s="1">
        <v>2</v>
      </c>
      <c r="C22" s="1">
        <v>0</v>
      </c>
      <c r="D22" s="1">
        <v>2</v>
      </c>
      <c r="E22" s="1">
        <f t="shared" si="1"/>
        <v>0</v>
      </c>
      <c r="G22" s="1">
        <v>37</v>
      </c>
      <c r="J22" s="1">
        <v>2</v>
      </c>
      <c r="O22" s="1">
        <v>6</v>
      </c>
      <c r="P22" s="1"/>
      <c r="AU22" s="1">
        <v>22</v>
      </c>
      <c r="AV22" s="1" t="s">
        <v>185</v>
      </c>
      <c r="AW22" s="1" t="s">
        <v>916</v>
      </c>
      <c r="AX22" s="1" t="s">
        <v>186</v>
      </c>
      <c r="AY22" s="1" t="s">
        <v>187</v>
      </c>
      <c r="AZ22" s="1" t="s">
        <v>188</v>
      </c>
      <c r="BA22" s="1" t="s">
        <v>189</v>
      </c>
      <c r="BB22" s="1" t="s">
        <v>143</v>
      </c>
      <c r="BC22" s="1" t="s">
        <v>59</v>
      </c>
      <c r="BD22" s="5" t="s">
        <v>190</v>
      </c>
    </row>
    <row r="23" spans="1:56" ht="15.75" customHeight="1">
      <c r="A23" s="1">
        <f t="shared" si="0"/>
        <v>20005</v>
      </c>
      <c r="B23" s="1">
        <v>2</v>
      </c>
      <c r="C23" s="1">
        <v>0</v>
      </c>
      <c r="D23" s="1">
        <v>2</v>
      </c>
      <c r="E23" s="1">
        <f t="shared" si="1"/>
        <v>1</v>
      </c>
      <c r="G23" s="1">
        <v>40</v>
      </c>
      <c r="J23" s="1">
        <v>2</v>
      </c>
      <c r="O23" s="1">
        <v>6</v>
      </c>
      <c r="P23" s="1"/>
      <c r="AU23" s="1">
        <v>22</v>
      </c>
      <c r="AV23" s="1" t="s">
        <v>185</v>
      </c>
      <c r="AW23" s="1" t="s">
        <v>917</v>
      </c>
      <c r="AX23" s="1" t="s">
        <v>191</v>
      </c>
      <c r="AY23" s="1" t="s">
        <v>187</v>
      </c>
      <c r="AZ23" s="1" t="s">
        <v>188</v>
      </c>
      <c r="BA23" s="1" t="s">
        <v>189</v>
      </c>
      <c r="BB23" s="1" t="s">
        <v>143</v>
      </c>
      <c r="BC23" s="1" t="s">
        <v>59</v>
      </c>
      <c r="BD23" s="5" t="s">
        <v>190</v>
      </c>
    </row>
    <row r="24" spans="1:56" ht="15.75" customHeight="1">
      <c r="A24" s="1">
        <f t="shared" si="0"/>
        <v>20005</v>
      </c>
      <c r="B24" s="1">
        <v>2</v>
      </c>
      <c r="C24" s="1">
        <v>0</v>
      </c>
      <c r="D24" s="1">
        <v>2</v>
      </c>
      <c r="E24" s="1">
        <f t="shared" si="1"/>
        <v>2</v>
      </c>
      <c r="G24" s="1">
        <v>43</v>
      </c>
      <c r="J24" s="1">
        <v>2</v>
      </c>
      <c r="O24" s="1">
        <v>6</v>
      </c>
      <c r="P24" s="1"/>
      <c r="AU24" s="1">
        <v>26</v>
      </c>
      <c r="AV24" s="1" t="s">
        <v>185</v>
      </c>
      <c r="AW24" s="1" t="s">
        <v>918</v>
      </c>
      <c r="AX24" s="1" t="s">
        <v>191</v>
      </c>
      <c r="AY24" s="1" t="s">
        <v>187</v>
      </c>
      <c r="AZ24" s="1" t="s">
        <v>188</v>
      </c>
      <c r="BA24" s="1" t="s">
        <v>189</v>
      </c>
      <c r="BB24" s="1" t="s">
        <v>148</v>
      </c>
      <c r="BC24" s="1" t="s">
        <v>59</v>
      </c>
      <c r="BD24" s="5" t="s">
        <v>190</v>
      </c>
    </row>
    <row r="25" spans="1:56" ht="15.75" customHeight="1">
      <c r="A25" s="1">
        <f t="shared" si="0"/>
        <v>20005</v>
      </c>
      <c r="B25" s="1">
        <v>2</v>
      </c>
      <c r="C25" s="1">
        <v>0</v>
      </c>
      <c r="D25" s="1">
        <v>2</v>
      </c>
      <c r="E25" s="1">
        <f t="shared" si="1"/>
        <v>3</v>
      </c>
      <c r="G25" s="1">
        <v>46</v>
      </c>
      <c r="J25" s="1">
        <v>2</v>
      </c>
      <c r="O25" s="1">
        <v>11</v>
      </c>
      <c r="P25" s="1"/>
      <c r="AU25" s="1">
        <v>26</v>
      </c>
      <c r="AV25" s="1" t="s">
        <v>185</v>
      </c>
      <c r="AW25" s="1" t="s">
        <v>919</v>
      </c>
      <c r="AX25" s="1" t="s">
        <v>191</v>
      </c>
      <c r="AY25" s="1" t="s">
        <v>187</v>
      </c>
      <c r="AZ25" s="1" t="s">
        <v>192</v>
      </c>
      <c r="BA25" s="1" t="s">
        <v>189</v>
      </c>
      <c r="BB25" s="1" t="s">
        <v>148</v>
      </c>
      <c r="BC25" s="1" t="s">
        <v>59</v>
      </c>
      <c r="BD25" s="5" t="s">
        <v>190</v>
      </c>
    </row>
    <row r="26" spans="1:56" ht="15.75" customHeight="1">
      <c r="A26" s="1">
        <f t="shared" si="0"/>
        <v>20005</v>
      </c>
      <c r="B26" s="1">
        <v>2</v>
      </c>
      <c r="C26" s="1">
        <v>0</v>
      </c>
      <c r="D26" s="1">
        <v>2</v>
      </c>
      <c r="E26" s="1">
        <f t="shared" si="1"/>
        <v>4</v>
      </c>
      <c r="G26" s="1">
        <v>49</v>
      </c>
      <c r="J26" s="1">
        <v>4</v>
      </c>
      <c r="O26" s="1">
        <v>11</v>
      </c>
      <c r="P26" s="1"/>
      <c r="AU26" s="1">
        <v>30</v>
      </c>
      <c r="AV26" s="1" t="s">
        <v>185</v>
      </c>
      <c r="AW26" s="1" t="s">
        <v>920</v>
      </c>
      <c r="AX26" s="1" t="s">
        <v>191</v>
      </c>
      <c r="AY26" s="1" t="s">
        <v>193</v>
      </c>
      <c r="AZ26" s="1" t="s">
        <v>192</v>
      </c>
      <c r="BA26" s="1" t="s">
        <v>189</v>
      </c>
      <c r="BB26" s="1" t="s">
        <v>152</v>
      </c>
      <c r="BC26" s="1" t="s">
        <v>59</v>
      </c>
      <c r="BD26" s="5" t="s">
        <v>190</v>
      </c>
    </row>
    <row r="27" spans="1:56" ht="15.75" customHeight="1">
      <c r="A27" s="1">
        <f t="shared" si="0"/>
        <v>20006</v>
      </c>
      <c r="B27" s="1">
        <v>2</v>
      </c>
      <c r="C27" s="1">
        <v>0</v>
      </c>
      <c r="D27" s="1">
        <v>2</v>
      </c>
      <c r="E27" s="1">
        <f t="shared" si="1"/>
        <v>0</v>
      </c>
      <c r="H27" s="1">
        <v>15</v>
      </c>
      <c r="I27" s="1">
        <v>4.3999999999999997E-2</v>
      </c>
      <c r="M27" s="1">
        <v>7</v>
      </c>
      <c r="U27" s="1">
        <v>3</v>
      </c>
      <c r="AU27" s="1">
        <v>22</v>
      </c>
      <c r="AV27" s="1" t="s">
        <v>194</v>
      </c>
      <c r="AW27" s="1" t="s">
        <v>139</v>
      </c>
      <c r="AX27" s="1" t="s">
        <v>178</v>
      </c>
      <c r="AY27" s="1" t="s">
        <v>195</v>
      </c>
      <c r="AZ27" s="1" t="s">
        <v>126</v>
      </c>
      <c r="BA27" s="1" t="s">
        <v>196</v>
      </c>
      <c r="BB27" s="1" t="s">
        <v>143</v>
      </c>
      <c r="BC27" s="1" t="s">
        <v>59</v>
      </c>
      <c r="BD27" s="1" t="s">
        <v>197</v>
      </c>
    </row>
    <row r="28" spans="1:56" ht="15.75" customHeight="1">
      <c r="A28" s="1">
        <f t="shared" si="0"/>
        <v>20006</v>
      </c>
      <c r="B28" s="1">
        <v>2</v>
      </c>
      <c r="C28" s="1">
        <v>0</v>
      </c>
      <c r="D28" s="1">
        <v>2</v>
      </c>
      <c r="E28" s="1">
        <f t="shared" si="1"/>
        <v>1</v>
      </c>
      <c r="H28" s="1">
        <v>30</v>
      </c>
      <c r="I28" s="1">
        <v>4.9000000000000002E-2</v>
      </c>
      <c r="M28" s="1">
        <v>7</v>
      </c>
      <c r="U28" s="1">
        <v>3</v>
      </c>
      <c r="AU28" s="1">
        <v>22</v>
      </c>
      <c r="AV28" s="1" t="s">
        <v>194</v>
      </c>
      <c r="AW28" s="1" t="s">
        <v>145</v>
      </c>
      <c r="AX28" s="1" t="s">
        <v>182</v>
      </c>
      <c r="AY28" s="1" t="s">
        <v>195</v>
      </c>
      <c r="AZ28" s="1" t="s">
        <v>126</v>
      </c>
      <c r="BA28" s="1" t="s">
        <v>196</v>
      </c>
      <c r="BB28" s="1" t="s">
        <v>143</v>
      </c>
      <c r="BC28" s="1" t="s">
        <v>59</v>
      </c>
      <c r="BD28" s="1" t="s">
        <v>197</v>
      </c>
    </row>
    <row r="29" spans="1:56" ht="15.75" customHeight="1">
      <c r="A29" s="1">
        <f t="shared" si="0"/>
        <v>20006</v>
      </c>
      <c r="B29" s="1">
        <v>2</v>
      </c>
      <c r="C29" s="1">
        <v>0</v>
      </c>
      <c r="D29" s="1">
        <v>2</v>
      </c>
      <c r="E29" s="1">
        <f t="shared" si="1"/>
        <v>2</v>
      </c>
      <c r="H29" s="1">
        <v>30</v>
      </c>
      <c r="I29" s="1">
        <v>5.3999999999999999E-2</v>
      </c>
      <c r="M29" s="1">
        <v>7</v>
      </c>
      <c r="U29" s="1">
        <v>3</v>
      </c>
      <c r="AU29" s="1">
        <v>26</v>
      </c>
      <c r="AV29" s="1" t="s">
        <v>194</v>
      </c>
      <c r="AW29" s="1" t="s">
        <v>147</v>
      </c>
      <c r="AX29" s="1" t="s">
        <v>182</v>
      </c>
      <c r="AY29" s="1" t="s">
        <v>195</v>
      </c>
      <c r="AZ29" s="1" t="s">
        <v>126</v>
      </c>
      <c r="BA29" s="1" t="s">
        <v>196</v>
      </c>
      <c r="BB29" s="1" t="s">
        <v>148</v>
      </c>
      <c r="BC29" s="1" t="s">
        <v>59</v>
      </c>
      <c r="BD29" s="1" t="s">
        <v>197</v>
      </c>
    </row>
    <row r="30" spans="1:56" ht="15.75" customHeight="1">
      <c r="A30" s="1">
        <f t="shared" si="0"/>
        <v>20006</v>
      </c>
      <c r="B30" s="1">
        <v>2</v>
      </c>
      <c r="C30" s="1">
        <v>0</v>
      </c>
      <c r="D30" s="1">
        <v>2</v>
      </c>
      <c r="E30" s="1">
        <f t="shared" si="1"/>
        <v>3</v>
      </c>
      <c r="H30" s="1">
        <v>30</v>
      </c>
      <c r="I30" s="1">
        <v>5.8999999999999997E-2</v>
      </c>
      <c r="M30" s="1">
        <v>7</v>
      </c>
      <c r="U30" s="1">
        <v>5</v>
      </c>
      <c r="AU30" s="1">
        <v>26</v>
      </c>
      <c r="AV30" s="1" t="s">
        <v>194</v>
      </c>
      <c r="AW30" s="1" t="s">
        <v>149</v>
      </c>
      <c r="AX30" s="1" t="s">
        <v>182</v>
      </c>
      <c r="AY30" s="1" t="s">
        <v>195</v>
      </c>
      <c r="AZ30" s="1" t="s">
        <v>198</v>
      </c>
      <c r="BA30" s="1" t="s">
        <v>196</v>
      </c>
      <c r="BB30" s="1" t="s">
        <v>148</v>
      </c>
      <c r="BC30" s="1" t="s">
        <v>59</v>
      </c>
      <c r="BD30" s="1" t="s">
        <v>197</v>
      </c>
    </row>
    <row r="31" spans="1:56" ht="15.75" customHeight="1">
      <c r="A31" s="1">
        <f t="shared" si="0"/>
        <v>20006</v>
      </c>
      <c r="B31" s="1">
        <v>2</v>
      </c>
      <c r="C31" s="1">
        <v>0</v>
      </c>
      <c r="D31" s="1">
        <v>2</v>
      </c>
      <c r="E31" s="1">
        <f t="shared" si="1"/>
        <v>4</v>
      </c>
      <c r="H31" s="1">
        <v>30</v>
      </c>
      <c r="I31" s="1">
        <v>6.4000000000000001E-2</v>
      </c>
      <c r="M31" s="1">
        <v>13</v>
      </c>
      <c r="U31" s="1">
        <v>5</v>
      </c>
      <c r="AU31" s="1">
        <v>30</v>
      </c>
      <c r="AV31" s="1" t="s">
        <v>194</v>
      </c>
      <c r="AW31" s="1" t="s">
        <v>150</v>
      </c>
      <c r="AX31" s="1" t="s">
        <v>182</v>
      </c>
      <c r="AY31" s="1" t="s">
        <v>199</v>
      </c>
      <c r="AZ31" s="1" t="s">
        <v>198</v>
      </c>
      <c r="BA31" s="1" t="s">
        <v>196</v>
      </c>
      <c r="BB31" s="1" t="s">
        <v>152</v>
      </c>
      <c r="BC31" s="1" t="s">
        <v>59</v>
      </c>
      <c r="BD31" s="1" t="s">
        <v>197</v>
      </c>
    </row>
    <row r="32" spans="1:56" ht="15.75" customHeight="1">
      <c r="A32" s="1">
        <f t="shared" si="0"/>
        <v>20007</v>
      </c>
      <c r="B32" s="1">
        <v>1</v>
      </c>
      <c r="C32" s="1">
        <v>0</v>
      </c>
      <c r="D32" s="1">
        <v>2</v>
      </c>
      <c r="E32" s="1">
        <f t="shared" si="1"/>
        <v>0</v>
      </c>
      <c r="H32" s="1">
        <v>15</v>
      </c>
      <c r="I32" s="1">
        <v>4.3999999999999997E-2</v>
      </c>
      <c r="J32" s="1">
        <v>2</v>
      </c>
      <c r="O32" s="1">
        <v>6</v>
      </c>
      <c r="P32" s="1"/>
      <c r="AU32" s="1">
        <v>22</v>
      </c>
      <c r="AV32" s="1" t="s">
        <v>200</v>
      </c>
      <c r="AW32" s="1" t="s">
        <v>201</v>
      </c>
      <c r="AX32" s="1" t="s">
        <v>178</v>
      </c>
      <c r="AY32" s="1" t="s">
        <v>202</v>
      </c>
      <c r="AZ32" s="1" t="s">
        <v>203</v>
      </c>
      <c r="BA32" s="1" t="s">
        <v>204</v>
      </c>
      <c r="BB32" s="1" t="s">
        <v>205</v>
      </c>
      <c r="BC32" s="1" t="s">
        <v>59</v>
      </c>
      <c r="BD32" s="5" t="s">
        <v>206</v>
      </c>
    </row>
    <row r="33" spans="1:56" ht="15.75" customHeight="1">
      <c r="A33" s="1">
        <f t="shared" si="0"/>
        <v>20007</v>
      </c>
      <c r="B33" s="1">
        <v>1</v>
      </c>
      <c r="C33" s="1">
        <v>0</v>
      </c>
      <c r="D33" s="1">
        <v>2</v>
      </c>
      <c r="E33" s="1">
        <f t="shared" si="1"/>
        <v>1</v>
      </c>
      <c r="H33" s="1">
        <v>30</v>
      </c>
      <c r="I33" s="1">
        <v>4.9000000000000002E-2</v>
      </c>
      <c r="J33" s="1">
        <v>2</v>
      </c>
      <c r="O33" s="1">
        <v>6</v>
      </c>
      <c r="P33" s="1"/>
      <c r="AU33" s="1">
        <v>22</v>
      </c>
      <c r="AV33" s="1" t="s">
        <v>200</v>
      </c>
      <c r="AW33" s="1" t="s">
        <v>207</v>
      </c>
      <c r="AX33" s="1" t="s">
        <v>182</v>
      </c>
      <c r="AY33" s="1" t="s">
        <v>202</v>
      </c>
      <c r="AZ33" s="1" t="s">
        <v>203</v>
      </c>
      <c r="BA33" s="1" t="s">
        <v>204</v>
      </c>
      <c r="BB33" s="1" t="s">
        <v>205</v>
      </c>
      <c r="BC33" s="1" t="s">
        <v>59</v>
      </c>
      <c r="BD33" s="5" t="s">
        <v>206</v>
      </c>
    </row>
    <row r="34" spans="1:56" ht="15.75" customHeight="1">
      <c r="A34" s="1">
        <f t="shared" si="0"/>
        <v>20007</v>
      </c>
      <c r="B34" s="1">
        <v>1</v>
      </c>
      <c r="C34" s="1">
        <v>0</v>
      </c>
      <c r="D34" s="1">
        <v>2</v>
      </c>
      <c r="E34" s="1">
        <f t="shared" si="1"/>
        <v>2</v>
      </c>
      <c r="H34" s="1">
        <v>30</v>
      </c>
      <c r="I34" s="1">
        <v>5.3999999999999999E-2</v>
      </c>
      <c r="J34" s="1">
        <v>2</v>
      </c>
      <c r="O34" s="1">
        <v>6</v>
      </c>
      <c r="P34" s="1"/>
      <c r="AU34" s="1">
        <v>26</v>
      </c>
      <c r="AV34" s="1" t="s">
        <v>200</v>
      </c>
      <c r="AW34" s="1" t="s">
        <v>208</v>
      </c>
      <c r="AX34" s="1" t="s">
        <v>182</v>
      </c>
      <c r="AY34" s="1" t="s">
        <v>202</v>
      </c>
      <c r="AZ34" s="1" t="s">
        <v>203</v>
      </c>
      <c r="BA34" s="1" t="s">
        <v>204</v>
      </c>
      <c r="BB34" s="1" t="s">
        <v>209</v>
      </c>
      <c r="BC34" s="1" t="s">
        <v>59</v>
      </c>
      <c r="BD34" s="5" t="s">
        <v>206</v>
      </c>
    </row>
    <row r="35" spans="1:56" ht="15.75" customHeight="1">
      <c r="A35" s="1">
        <f t="shared" si="0"/>
        <v>20007</v>
      </c>
      <c r="B35" s="1">
        <v>1</v>
      </c>
      <c r="C35" s="1">
        <v>0</v>
      </c>
      <c r="D35" s="1">
        <v>2</v>
      </c>
      <c r="E35" s="1">
        <f t="shared" si="1"/>
        <v>3</v>
      </c>
      <c r="H35" s="1">
        <v>30</v>
      </c>
      <c r="I35" s="1">
        <v>5.8999999999999997E-2</v>
      </c>
      <c r="J35" s="1">
        <v>2</v>
      </c>
      <c r="O35" s="1">
        <v>11</v>
      </c>
      <c r="P35" s="1"/>
      <c r="AU35" s="1">
        <v>26</v>
      </c>
      <c r="AV35" s="1" t="s">
        <v>200</v>
      </c>
      <c r="AW35" s="1" t="s">
        <v>210</v>
      </c>
      <c r="AX35" s="1" t="s">
        <v>182</v>
      </c>
      <c r="AY35" s="1" t="s">
        <v>202</v>
      </c>
      <c r="AZ35" s="1" t="s">
        <v>211</v>
      </c>
      <c r="BA35" s="1" t="s">
        <v>204</v>
      </c>
      <c r="BB35" s="1" t="s">
        <v>209</v>
      </c>
      <c r="BC35" s="1" t="s">
        <v>59</v>
      </c>
      <c r="BD35" s="5" t="s">
        <v>206</v>
      </c>
    </row>
    <row r="36" spans="1:56" ht="15.75" customHeight="1">
      <c r="A36" s="1">
        <f t="shared" si="0"/>
        <v>20007</v>
      </c>
      <c r="B36" s="1">
        <v>1</v>
      </c>
      <c r="C36" s="1">
        <v>0</v>
      </c>
      <c r="D36" s="1">
        <v>2</v>
      </c>
      <c r="E36" s="1">
        <f t="shared" si="1"/>
        <v>4</v>
      </c>
      <c r="H36" s="1">
        <v>30</v>
      </c>
      <c r="I36" s="1">
        <v>6.4000000000000001E-2</v>
      </c>
      <c r="J36" s="1">
        <v>4</v>
      </c>
      <c r="O36" s="1">
        <v>11</v>
      </c>
      <c r="P36" s="1"/>
      <c r="AU36" s="1">
        <v>30</v>
      </c>
      <c r="AV36" s="1" t="s">
        <v>200</v>
      </c>
      <c r="AW36" s="1" t="s">
        <v>212</v>
      </c>
      <c r="AX36" s="1" t="s">
        <v>182</v>
      </c>
      <c r="AY36" s="1" t="s">
        <v>213</v>
      </c>
      <c r="AZ36" s="1" t="s">
        <v>211</v>
      </c>
      <c r="BA36" s="1" t="s">
        <v>204</v>
      </c>
      <c r="BB36" s="1" t="s">
        <v>214</v>
      </c>
      <c r="BC36" s="1" t="s">
        <v>59</v>
      </c>
      <c r="BD36" s="5" t="s">
        <v>206</v>
      </c>
    </row>
    <row r="37" spans="1:56" ht="15.75" customHeight="1">
      <c r="A37" s="1">
        <f t="shared" si="0"/>
        <v>20008</v>
      </c>
      <c r="B37" s="1">
        <v>1</v>
      </c>
      <c r="C37" s="1">
        <v>0</v>
      </c>
      <c r="D37" s="1">
        <v>2</v>
      </c>
      <c r="E37" s="1">
        <f t="shared" si="1"/>
        <v>0</v>
      </c>
      <c r="F37" s="1">
        <v>10.5</v>
      </c>
      <c r="I37" s="1">
        <v>4.3999999999999997E-2</v>
      </c>
      <c r="K37" s="1">
        <v>7</v>
      </c>
      <c r="AT37" s="1">
        <v>9</v>
      </c>
      <c r="AU37" s="1">
        <v>22</v>
      </c>
      <c r="AV37" s="1" t="s">
        <v>215</v>
      </c>
      <c r="AW37" s="1" t="s">
        <v>201</v>
      </c>
      <c r="AX37" s="1" t="s">
        <v>216</v>
      </c>
      <c r="AY37" s="1" t="s">
        <v>217</v>
      </c>
      <c r="AZ37" s="1" t="s">
        <v>1097</v>
      </c>
      <c r="BA37" s="1" t="s">
        <v>218</v>
      </c>
      <c r="BB37" s="1" t="s">
        <v>205</v>
      </c>
      <c r="BC37" s="1" t="s">
        <v>59</v>
      </c>
      <c r="BD37" s="1" t="s">
        <v>219</v>
      </c>
    </row>
    <row r="38" spans="1:56" ht="15.75" customHeight="1">
      <c r="A38" s="1">
        <f t="shared" si="0"/>
        <v>20008</v>
      </c>
      <c r="B38" s="1">
        <v>1</v>
      </c>
      <c r="C38" s="1">
        <v>0</v>
      </c>
      <c r="D38" s="1">
        <v>2</v>
      </c>
      <c r="E38" s="1">
        <f t="shared" si="1"/>
        <v>1</v>
      </c>
      <c r="F38" s="1">
        <v>21</v>
      </c>
      <c r="I38" s="1">
        <v>4.9000000000000002E-2</v>
      </c>
      <c r="K38" s="1">
        <v>7</v>
      </c>
      <c r="AT38" s="1">
        <v>9</v>
      </c>
      <c r="AU38" s="1">
        <v>22</v>
      </c>
      <c r="AV38" s="1" t="s">
        <v>215</v>
      </c>
      <c r="AW38" s="1" t="s">
        <v>207</v>
      </c>
      <c r="AX38" s="1" t="s">
        <v>220</v>
      </c>
      <c r="AY38" s="1" t="s">
        <v>217</v>
      </c>
      <c r="AZ38" s="1" t="s">
        <v>1097</v>
      </c>
      <c r="BA38" s="1" t="s">
        <v>218</v>
      </c>
      <c r="BB38" s="1" t="s">
        <v>205</v>
      </c>
      <c r="BC38" s="1" t="s">
        <v>59</v>
      </c>
      <c r="BD38" s="1" t="s">
        <v>219</v>
      </c>
    </row>
    <row r="39" spans="1:56" ht="15.75" customHeight="1">
      <c r="A39" s="1">
        <f t="shared" si="0"/>
        <v>20008</v>
      </c>
      <c r="B39" s="1">
        <v>1</v>
      </c>
      <c r="C39" s="1">
        <v>0</v>
      </c>
      <c r="D39" s="1">
        <v>2</v>
      </c>
      <c r="E39" s="1">
        <f t="shared" si="1"/>
        <v>2</v>
      </c>
      <c r="F39" s="1">
        <v>21</v>
      </c>
      <c r="I39" s="1">
        <v>5.3999999999999999E-2</v>
      </c>
      <c r="K39" s="1">
        <v>7</v>
      </c>
      <c r="AT39" s="1">
        <v>9</v>
      </c>
      <c r="AU39" s="1">
        <v>26</v>
      </c>
      <c r="AV39" s="1" t="s">
        <v>215</v>
      </c>
      <c r="AW39" s="1" t="s">
        <v>208</v>
      </c>
      <c r="AX39" s="1" t="s">
        <v>220</v>
      </c>
      <c r="AY39" s="1" t="s">
        <v>217</v>
      </c>
      <c r="AZ39" s="1" t="s">
        <v>1097</v>
      </c>
      <c r="BA39" s="1" t="s">
        <v>218</v>
      </c>
      <c r="BB39" s="1" t="s">
        <v>209</v>
      </c>
      <c r="BC39" s="1" t="s">
        <v>59</v>
      </c>
      <c r="BD39" s="1" t="s">
        <v>219</v>
      </c>
    </row>
    <row r="40" spans="1:56" ht="15.75" customHeight="1">
      <c r="A40" s="1">
        <f t="shared" si="0"/>
        <v>20008</v>
      </c>
      <c r="B40" s="1">
        <v>1</v>
      </c>
      <c r="C40" s="1">
        <v>0</v>
      </c>
      <c r="D40" s="1">
        <v>2</v>
      </c>
      <c r="E40" s="1">
        <f t="shared" si="1"/>
        <v>3</v>
      </c>
      <c r="F40" s="1">
        <v>21</v>
      </c>
      <c r="I40" s="1">
        <v>5.8999999999999997E-2</v>
      </c>
      <c r="K40" s="1">
        <v>7</v>
      </c>
      <c r="AT40" s="1">
        <v>17</v>
      </c>
      <c r="AU40" s="1">
        <v>26</v>
      </c>
      <c r="AV40" s="1" t="s">
        <v>215</v>
      </c>
      <c r="AW40" s="1" t="s">
        <v>210</v>
      </c>
      <c r="AX40" s="1" t="s">
        <v>220</v>
      </c>
      <c r="AY40" s="1" t="s">
        <v>217</v>
      </c>
      <c r="AZ40" s="1" t="s">
        <v>1086</v>
      </c>
      <c r="BA40" s="1" t="s">
        <v>218</v>
      </c>
      <c r="BB40" s="1" t="s">
        <v>209</v>
      </c>
      <c r="BC40" s="1" t="s">
        <v>59</v>
      </c>
      <c r="BD40" s="1" t="s">
        <v>219</v>
      </c>
    </row>
    <row r="41" spans="1:56" ht="15.75" customHeight="1">
      <c r="A41" s="1">
        <f t="shared" si="0"/>
        <v>20008</v>
      </c>
      <c r="B41" s="1">
        <v>1</v>
      </c>
      <c r="C41" s="1">
        <v>0</v>
      </c>
      <c r="D41" s="1">
        <v>2</v>
      </c>
      <c r="E41" s="1">
        <f t="shared" si="1"/>
        <v>4</v>
      </c>
      <c r="F41" s="1">
        <v>21</v>
      </c>
      <c r="I41" s="1">
        <v>6.4000000000000001E-2</v>
      </c>
      <c r="K41" s="1">
        <v>13</v>
      </c>
      <c r="AT41" s="1">
        <v>17</v>
      </c>
      <c r="AU41" s="1">
        <v>30</v>
      </c>
      <c r="AV41" s="1" t="s">
        <v>215</v>
      </c>
      <c r="AW41" s="1" t="s">
        <v>212</v>
      </c>
      <c r="AX41" s="1" t="s">
        <v>220</v>
      </c>
      <c r="AY41" s="1" t="s">
        <v>221</v>
      </c>
      <c r="AZ41" s="1" t="s">
        <v>1086</v>
      </c>
      <c r="BA41" s="1" t="s">
        <v>218</v>
      </c>
      <c r="BB41" s="1" t="s">
        <v>214</v>
      </c>
      <c r="BC41" s="1" t="s">
        <v>59</v>
      </c>
      <c r="BD41" s="1" t="s">
        <v>219</v>
      </c>
    </row>
    <row r="42" spans="1:56" ht="15.75" customHeight="1">
      <c r="A42" s="1">
        <f t="shared" si="0"/>
        <v>20009</v>
      </c>
      <c r="B42" s="1">
        <v>1</v>
      </c>
      <c r="C42" s="1">
        <v>0</v>
      </c>
      <c r="D42" s="1">
        <v>2</v>
      </c>
      <c r="E42" s="1">
        <f t="shared" si="1"/>
        <v>0</v>
      </c>
      <c r="G42" s="1">
        <v>37</v>
      </c>
      <c r="H42" s="1">
        <v>15</v>
      </c>
      <c r="M42" s="1">
        <v>7</v>
      </c>
      <c r="U42" s="1">
        <v>3</v>
      </c>
      <c r="AU42" s="1">
        <v>22</v>
      </c>
      <c r="AV42" s="1" t="s">
        <v>222</v>
      </c>
      <c r="AW42" s="1" t="s">
        <v>928</v>
      </c>
      <c r="AX42" s="1" t="s">
        <v>178</v>
      </c>
      <c r="AY42" s="1" t="s">
        <v>223</v>
      </c>
      <c r="AZ42" s="1" t="s">
        <v>134</v>
      </c>
      <c r="BA42" s="1" t="s">
        <v>224</v>
      </c>
      <c r="BB42" s="1" t="s">
        <v>205</v>
      </c>
      <c r="BC42" s="1" t="s">
        <v>59</v>
      </c>
      <c r="BD42" s="1" t="s">
        <v>225</v>
      </c>
    </row>
    <row r="43" spans="1:56" ht="15.75" customHeight="1">
      <c r="A43" s="1">
        <f t="shared" si="0"/>
        <v>20009</v>
      </c>
      <c r="B43" s="1">
        <v>1</v>
      </c>
      <c r="C43" s="1">
        <v>0</v>
      </c>
      <c r="D43" s="1">
        <v>2</v>
      </c>
      <c r="E43" s="1">
        <f t="shared" si="1"/>
        <v>1</v>
      </c>
      <c r="G43" s="1">
        <v>40</v>
      </c>
      <c r="H43" s="1">
        <v>30</v>
      </c>
      <c r="M43" s="1">
        <v>7</v>
      </c>
      <c r="U43" s="1">
        <v>3</v>
      </c>
      <c r="AU43" s="1">
        <v>22</v>
      </c>
      <c r="AV43" s="1" t="s">
        <v>222</v>
      </c>
      <c r="AW43" s="1" t="s">
        <v>926</v>
      </c>
      <c r="AX43" s="1" t="s">
        <v>182</v>
      </c>
      <c r="AY43" s="1" t="s">
        <v>223</v>
      </c>
      <c r="AZ43" s="1" t="s">
        <v>134</v>
      </c>
      <c r="BA43" s="1" t="s">
        <v>224</v>
      </c>
      <c r="BB43" s="1" t="s">
        <v>205</v>
      </c>
      <c r="BC43" s="1" t="s">
        <v>59</v>
      </c>
      <c r="BD43" s="1" t="s">
        <v>225</v>
      </c>
    </row>
    <row r="44" spans="1:56" ht="15.75" customHeight="1">
      <c r="A44" s="1">
        <f t="shared" si="0"/>
        <v>20009</v>
      </c>
      <c r="B44" s="1">
        <v>1</v>
      </c>
      <c r="C44" s="1">
        <v>0</v>
      </c>
      <c r="D44" s="1">
        <v>2</v>
      </c>
      <c r="E44" s="1">
        <f t="shared" si="1"/>
        <v>2</v>
      </c>
      <c r="G44" s="1">
        <v>43</v>
      </c>
      <c r="H44" s="1">
        <v>30</v>
      </c>
      <c r="M44" s="1">
        <v>7</v>
      </c>
      <c r="U44" s="1">
        <v>3</v>
      </c>
      <c r="AU44" s="1">
        <v>26</v>
      </c>
      <c r="AV44" s="1" t="s">
        <v>222</v>
      </c>
      <c r="AW44" s="1" t="s">
        <v>930</v>
      </c>
      <c r="AX44" s="1" t="s">
        <v>182</v>
      </c>
      <c r="AY44" s="1" t="s">
        <v>223</v>
      </c>
      <c r="AZ44" s="1" t="s">
        <v>134</v>
      </c>
      <c r="BA44" s="1" t="s">
        <v>224</v>
      </c>
      <c r="BB44" s="1" t="s">
        <v>209</v>
      </c>
      <c r="BC44" s="1" t="s">
        <v>59</v>
      </c>
      <c r="BD44" s="1" t="s">
        <v>225</v>
      </c>
    </row>
    <row r="45" spans="1:56" ht="15.75" customHeight="1">
      <c r="A45" s="1">
        <f t="shared" si="0"/>
        <v>20009</v>
      </c>
      <c r="B45" s="1">
        <v>1</v>
      </c>
      <c r="C45" s="1">
        <v>0</v>
      </c>
      <c r="D45" s="1">
        <v>2</v>
      </c>
      <c r="E45" s="1">
        <f t="shared" si="1"/>
        <v>3</v>
      </c>
      <c r="G45" s="1">
        <v>46</v>
      </c>
      <c r="H45" s="1">
        <v>30</v>
      </c>
      <c r="M45" s="1">
        <v>7</v>
      </c>
      <c r="U45" s="1">
        <v>5</v>
      </c>
      <c r="AU45" s="1">
        <v>26</v>
      </c>
      <c r="AV45" s="1" t="s">
        <v>222</v>
      </c>
      <c r="AW45" s="1" t="s">
        <v>932</v>
      </c>
      <c r="AX45" s="1" t="s">
        <v>182</v>
      </c>
      <c r="AY45" s="1" t="s">
        <v>223</v>
      </c>
      <c r="AZ45" s="1" t="s">
        <v>226</v>
      </c>
      <c r="BA45" s="1" t="s">
        <v>224</v>
      </c>
      <c r="BB45" s="1" t="s">
        <v>209</v>
      </c>
      <c r="BC45" s="1" t="s">
        <v>59</v>
      </c>
      <c r="BD45" s="1" t="s">
        <v>225</v>
      </c>
    </row>
    <row r="46" spans="1:56" ht="15.75" customHeight="1">
      <c r="A46" s="1">
        <f t="shared" si="0"/>
        <v>20009</v>
      </c>
      <c r="B46" s="1">
        <v>1</v>
      </c>
      <c r="C46" s="1">
        <v>0</v>
      </c>
      <c r="D46" s="1">
        <v>2</v>
      </c>
      <c r="E46" s="1">
        <f t="shared" si="1"/>
        <v>4</v>
      </c>
      <c r="G46" s="1">
        <v>49</v>
      </c>
      <c r="H46" s="1">
        <v>30</v>
      </c>
      <c r="M46" s="1">
        <v>13</v>
      </c>
      <c r="U46" s="1">
        <v>5</v>
      </c>
      <c r="AU46" s="1">
        <v>30</v>
      </c>
      <c r="AV46" s="1" t="s">
        <v>222</v>
      </c>
      <c r="AW46" s="1" t="s">
        <v>934</v>
      </c>
      <c r="AX46" s="1" t="s">
        <v>182</v>
      </c>
      <c r="AY46" s="1" t="s">
        <v>227</v>
      </c>
      <c r="AZ46" s="1" t="s">
        <v>226</v>
      </c>
      <c r="BA46" s="1" t="s">
        <v>224</v>
      </c>
      <c r="BB46" s="1" t="s">
        <v>214</v>
      </c>
      <c r="BC46" s="1" t="s">
        <v>59</v>
      </c>
      <c r="BD46" s="1" t="s">
        <v>225</v>
      </c>
    </row>
    <row r="47" spans="1:56" ht="15.75" customHeight="1">
      <c r="A47" s="1">
        <f t="shared" si="0"/>
        <v>20010</v>
      </c>
      <c r="B47" s="1">
        <v>1</v>
      </c>
      <c r="C47" s="1">
        <v>0</v>
      </c>
      <c r="D47" s="1">
        <v>2</v>
      </c>
      <c r="E47" s="1">
        <f t="shared" si="1"/>
        <v>0</v>
      </c>
      <c r="G47" s="1">
        <v>37</v>
      </c>
      <c r="J47" s="1">
        <v>2</v>
      </c>
      <c r="S47" s="1">
        <v>7</v>
      </c>
      <c r="T47" s="1"/>
      <c r="AU47" s="1">
        <v>22</v>
      </c>
      <c r="AV47" s="1" t="s">
        <v>228</v>
      </c>
      <c r="AW47" s="1" t="s">
        <v>928</v>
      </c>
      <c r="AX47" s="1" t="s">
        <v>229</v>
      </c>
      <c r="AY47" s="1" t="s">
        <v>202</v>
      </c>
      <c r="AZ47" s="1" t="s">
        <v>938</v>
      </c>
      <c r="BA47" s="1" t="s">
        <v>230</v>
      </c>
      <c r="BB47" s="1" t="s">
        <v>205</v>
      </c>
      <c r="BC47" s="1" t="s">
        <v>59</v>
      </c>
      <c r="BD47" s="1" t="s">
        <v>231</v>
      </c>
    </row>
    <row r="48" spans="1:56" ht="15.75" customHeight="1">
      <c r="A48" s="1">
        <f t="shared" si="0"/>
        <v>20010</v>
      </c>
      <c r="B48" s="1">
        <v>1</v>
      </c>
      <c r="C48" s="1">
        <v>0</v>
      </c>
      <c r="D48" s="1">
        <v>2</v>
      </c>
      <c r="E48" s="1">
        <f t="shared" si="1"/>
        <v>1</v>
      </c>
      <c r="G48" s="1">
        <v>40</v>
      </c>
      <c r="J48" s="1">
        <v>2</v>
      </c>
      <c r="S48" s="1">
        <v>7</v>
      </c>
      <c r="T48" s="1"/>
      <c r="AU48" s="1">
        <v>22</v>
      </c>
      <c r="AV48" s="1" t="s">
        <v>228</v>
      </c>
      <c r="AW48" s="1" t="s">
        <v>926</v>
      </c>
      <c r="AX48" s="1" t="s">
        <v>232</v>
      </c>
      <c r="AY48" s="1" t="s">
        <v>202</v>
      </c>
      <c r="AZ48" s="1" t="s">
        <v>938</v>
      </c>
      <c r="BA48" s="1" t="s">
        <v>230</v>
      </c>
      <c r="BB48" s="1" t="s">
        <v>205</v>
      </c>
      <c r="BC48" s="1" t="s">
        <v>59</v>
      </c>
      <c r="BD48" s="1" t="s">
        <v>231</v>
      </c>
    </row>
    <row r="49" spans="1:56" ht="15.75" customHeight="1">
      <c r="A49" s="1">
        <f t="shared" si="0"/>
        <v>20010</v>
      </c>
      <c r="B49" s="1">
        <v>1</v>
      </c>
      <c r="C49" s="1">
        <v>0</v>
      </c>
      <c r="D49" s="1">
        <v>2</v>
      </c>
      <c r="E49" s="1">
        <f t="shared" si="1"/>
        <v>2</v>
      </c>
      <c r="G49" s="1">
        <v>43</v>
      </c>
      <c r="J49" s="1">
        <v>2</v>
      </c>
      <c r="S49" s="1">
        <v>7</v>
      </c>
      <c r="T49" s="1"/>
      <c r="AU49" s="1">
        <v>26</v>
      </c>
      <c r="AV49" s="1" t="s">
        <v>228</v>
      </c>
      <c r="AW49" s="1" t="s">
        <v>930</v>
      </c>
      <c r="AX49" s="1" t="s">
        <v>232</v>
      </c>
      <c r="AY49" s="1" t="s">
        <v>202</v>
      </c>
      <c r="AZ49" s="1" t="s">
        <v>938</v>
      </c>
      <c r="BA49" s="1" t="s">
        <v>230</v>
      </c>
      <c r="BB49" s="1" t="s">
        <v>209</v>
      </c>
      <c r="BC49" s="1" t="s">
        <v>59</v>
      </c>
      <c r="BD49" s="1" t="s">
        <v>231</v>
      </c>
    </row>
    <row r="50" spans="1:56" ht="15.75" customHeight="1">
      <c r="A50" s="1">
        <f t="shared" si="0"/>
        <v>20010</v>
      </c>
      <c r="B50" s="1">
        <v>1</v>
      </c>
      <c r="C50" s="1">
        <v>0</v>
      </c>
      <c r="D50" s="1">
        <v>2</v>
      </c>
      <c r="E50" s="1">
        <f t="shared" si="1"/>
        <v>3</v>
      </c>
      <c r="G50" s="1">
        <v>46</v>
      </c>
      <c r="J50" s="1">
        <v>2</v>
      </c>
      <c r="S50" s="1">
        <v>14</v>
      </c>
      <c r="T50" s="1"/>
      <c r="AU50" s="1">
        <v>26</v>
      </c>
      <c r="AV50" s="1" t="s">
        <v>228</v>
      </c>
      <c r="AW50" s="1" t="s">
        <v>932</v>
      </c>
      <c r="AX50" s="1" t="s">
        <v>232</v>
      </c>
      <c r="AY50" s="1" t="s">
        <v>202</v>
      </c>
      <c r="AZ50" s="1" t="s">
        <v>935</v>
      </c>
      <c r="BA50" s="1" t="s">
        <v>230</v>
      </c>
      <c r="BB50" s="1" t="s">
        <v>209</v>
      </c>
      <c r="BC50" s="1" t="s">
        <v>59</v>
      </c>
      <c r="BD50" s="1" t="s">
        <v>231</v>
      </c>
    </row>
    <row r="51" spans="1:56" ht="15.75" customHeight="1">
      <c r="A51" s="1">
        <f t="shared" si="0"/>
        <v>20010</v>
      </c>
      <c r="B51" s="1">
        <v>1</v>
      </c>
      <c r="C51" s="1">
        <v>0</v>
      </c>
      <c r="D51" s="1">
        <v>2</v>
      </c>
      <c r="E51" s="1">
        <f t="shared" si="1"/>
        <v>4</v>
      </c>
      <c r="G51" s="1">
        <v>49</v>
      </c>
      <c r="J51" s="1">
        <v>4</v>
      </c>
      <c r="S51" s="1">
        <v>14</v>
      </c>
      <c r="T51" s="1"/>
      <c r="AU51" s="1">
        <v>30</v>
      </c>
      <c r="AV51" s="1" t="s">
        <v>228</v>
      </c>
      <c r="AW51" s="1" t="s">
        <v>934</v>
      </c>
      <c r="AX51" s="1" t="s">
        <v>232</v>
      </c>
      <c r="AY51" s="1" t="s">
        <v>213</v>
      </c>
      <c r="AZ51" s="1" t="s">
        <v>935</v>
      </c>
      <c r="BA51" s="1" t="s">
        <v>230</v>
      </c>
      <c r="BB51" s="1" t="s">
        <v>214</v>
      </c>
      <c r="BC51" s="1" t="s">
        <v>59</v>
      </c>
      <c r="BD51" s="1" t="s">
        <v>231</v>
      </c>
    </row>
    <row r="52" spans="1:56" ht="15.75" customHeight="1">
      <c r="A52" s="1">
        <f t="shared" si="0"/>
        <v>20011</v>
      </c>
      <c r="B52" s="1">
        <v>0</v>
      </c>
      <c r="C52" s="1">
        <v>0</v>
      </c>
      <c r="D52" s="1">
        <v>2</v>
      </c>
      <c r="E52" s="1">
        <f t="shared" si="1"/>
        <v>0</v>
      </c>
      <c r="G52" s="1">
        <v>37</v>
      </c>
      <c r="H52" s="1">
        <v>15</v>
      </c>
      <c r="J52" s="1">
        <v>2</v>
      </c>
      <c r="S52" s="1">
        <v>7</v>
      </c>
      <c r="T52" s="1"/>
      <c r="AU52" s="1">
        <v>22</v>
      </c>
      <c r="AV52" s="1" t="s">
        <v>233</v>
      </c>
      <c r="AW52" s="1" t="s">
        <v>927</v>
      </c>
      <c r="AX52" s="1" t="s">
        <v>178</v>
      </c>
      <c r="AY52" s="1" t="s">
        <v>170</v>
      </c>
      <c r="AZ52" s="1" t="s">
        <v>939</v>
      </c>
      <c r="BA52" s="1" t="s">
        <v>234</v>
      </c>
      <c r="BB52" s="1" t="s">
        <v>158</v>
      </c>
      <c r="BC52" s="1" t="s">
        <v>59</v>
      </c>
      <c r="BD52" s="1" t="s">
        <v>235</v>
      </c>
    </row>
    <row r="53" spans="1:56" ht="15.75" customHeight="1">
      <c r="A53" s="1">
        <f t="shared" si="0"/>
        <v>20011</v>
      </c>
      <c r="B53" s="1">
        <v>0</v>
      </c>
      <c r="C53" s="1">
        <v>0</v>
      </c>
      <c r="D53" s="1">
        <v>2</v>
      </c>
      <c r="E53" s="1">
        <f t="shared" si="1"/>
        <v>1</v>
      </c>
      <c r="G53" s="1">
        <v>40</v>
      </c>
      <c r="H53" s="1">
        <v>30</v>
      </c>
      <c r="J53" s="1">
        <v>2</v>
      </c>
      <c r="S53" s="1">
        <v>7</v>
      </c>
      <c r="T53" s="1"/>
      <c r="AU53" s="1">
        <v>22</v>
      </c>
      <c r="AV53" s="1" t="s">
        <v>233</v>
      </c>
      <c r="AW53" s="1" t="s">
        <v>925</v>
      </c>
      <c r="AX53" s="1" t="s">
        <v>182</v>
      </c>
      <c r="AY53" s="1" t="s">
        <v>170</v>
      </c>
      <c r="AZ53" s="1" t="s">
        <v>939</v>
      </c>
      <c r="BA53" s="1" t="s">
        <v>234</v>
      </c>
      <c r="BB53" s="1" t="s">
        <v>158</v>
      </c>
      <c r="BC53" s="1" t="s">
        <v>59</v>
      </c>
      <c r="BD53" s="1" t="s">
        <v>235</v>
      </c>
    </row>
    <row r="54" spans="1:56" ht="15.75" customHeight="1">
      <c r="A54" s="1">
        <f t="shared" si="0"/>
        <v>20011</v>
      </c>
      <c r="B54" s="1">
        <v>0</v>
      </c>
      <c r="C54" s="1">
        <v>0</v>
      </c>
      <c r="D54" s="1">
        <v>2</v>
      </c>
      <c r="E54" s="1">
        <f t="shared" si="1"/>
        <v>2</v>
      </c>
      <c r="G54" s="1">
        <v>43</v>
      </c>
      <c r="H54" s="1">
        <v>30</v>
      </c>
      <c r="J54" s="1">
        <v>2</v>
      </c>
      <c r="S54" s="1">
        <v>7</v>
      </c>
      <c r="T54" s="1"/>
      <c r="AU54" s="1">
        <v>26</v>
      </c>
      <c r="AV54" s="1" t="s">
        <v>233</v>
      </c>
      <c r="AW54" s="1" t="s">
        <v>929</v>
      </c>
      <c r="AX54" s="1" t="s">
        <v>182</v>
      </c>
      <c r="AY54" s="1" t="s">
        <v>170</v>
      </c>
      <c r="AZ54" s="1" t="s">
        <v>939</v>
      </c>
      <c r="BA54" s="1" t="s">
        <v>234</v>
      </c>
      <c r="BB54" s="1" t="s">
        <v>163</v>
      </c>
      <c r="BC54" s="1" t="s">
        <v>59</v>
      </c>
      <c r="BD54" s="1" t="s">
        <v>235</v>
      </c>
    </row>
    <row r="55" spans="1:56" ht="15.75" customHeight="1">
      <c r="A55" s="1">
        <f t="shared" si="0"/>
        <v>20011</v>
      </c>
      <c r="B55" s="1">
        <v>0</v>
      </c>
      <c r="C55" s="1">
        <v>0</v>
      </c>
      <c r="D55" s="1">
        <v>2</v>
      </c>
      <c r="E55" s="1">
        <f t="shared" si="1"/>
        <v>3</v>
      </c>
      <c r="G55" s="1">
        <v>46</v>
      </c>
      <c r="H55" s="1">
        <v>30</v>
      </c>
      <c r="J55" s="1">
        <v>2</v>
      </c>
      <c r="S55" s="1">
        <v>14</v>
      </c>
      <c r="T55" s="1"/>
      <c r="AU55" s="1">
        <v>26</v>
      </c>
      <c r="AV55" s="1" t="s">
        <v>233</v>
      </c>
      <c r="AW55" s="1" t="s">
        <v>931</v>
      </c>
      <c r="AX55" s="1" t="s">
        <v>182</v>
      </c>
      <c r="AY55" s="1" t="s">
        <v>170</v>
      </c>
      <c r="AZ55" s="1" t="s">
        <v>936</v>
      </c>
      <c r="BA55" s="1" t="s">
        <v>234</v>
      </c>
      <c r="BB55" s="1" t="s">
        <v>163</v>
      </c>
      <c r="BC55" s="1" t="s">
        <v>59</v>
      </c>
      <c r="BD55" s="1" t="s">
        <v>235</v>
      </c>
    </row>
    <row r="56" spans="1:56" ht="15.75" customHeight="1">
      <c r="A56" s="1">
        <f t="shared" si="0"/>
        <v>20011</v>
      </c>
      <c r="B56" s="1">
        <v>0</v>
      </c>
      <c r="C56" s="1">
        <v>0</v>
      </c>
      <c r="D56" s="1">
        <v>2</v>
      </c>
      <c r="E56" s="1">
        <f t="shared" si="1"/>
        <v>4</v>
      </c>
      <c r="G56" s="1">
        <v>49</v>
      </c>
      <c r="H56" s="1">
        <v>30</v>
      </c>
      <c r="J56" s="1">
        <v>4</v>
      </c>
      <c r="S56" s="1">
        <v>14</v>
      </c>
      <c r="T56" s="1"/>
      <c r="AU56" s="1">
        <v>30</v>
      </c>
      <c r="AV56" s="1" t="s">
        <v>233</v>
      </c>
      <c r="AW56" s="1" t="s">
        <v>933</v>
      </c>
      <c r="AX56" s="1" t="s">
        <v>182</v>
      </c>
      <c r="AY56" s="1" t="s">
        <v>176</v>
      </c>
      <c r="AZ56" s="1" t="s">
        <v>936</v>
      </c>
      <c r="BA56" s="1" t="s">
        <v>234</v>
      </c>
      <c r="BB56" s="1" t="s">
        <v>167</v>
      </c>
      <c r="BC56" s="1" t="s">
        <v>59</v>
      </c>
      <c r="BD56" s="1" t="s">
        <v>235</v>
      </c>
    </row>
    <row r="57" spans="1:56" ht="15.75" customHeight="1">
      <c r="A57" s="1">
        <f t="shared" si="0"/>
        <v>20012</v>
      </c>
      <c r="B57" s="1">
        <v>2</v>
      </c>
      <c r="C57" s="1">
        <v>0</v>
      </c>
      <c r="D57" s="1">
        <v>2</v>
      </c>
      <c r="E57" s="1">
        <f t="shared" si="1"/>
        <v>0</v>
      </c>
      <c r="G57" s="1">
        <v>37</v>
      </c>
      <c r="H57" s="1">
        <v>15</v>
      </c>
      <c r="J57" s="1">
        <v>2</v>
      </c>
      <c r="S57" s="1">
        <v>7</v>
      </c>
      <c r="T57" s="1"/>
      <c r="AU57" s="1">
        <v>22</v>
      </c>
      <c r="AV57" s="1" t="s">
        <v>236</v>
      </c>
      <c r="AW57" s="1" t="s">
        <v>916</v>
      </c>
      <c r="AX57" s="1" t="s">
        <v>178</v>
      </c>
      <c r="AY57" s="1" t="s">
        <v>187</v>
      </c>
      <c r="AZ57" s="1" t="s">
        <v>940</v>
      </c>
      <c r="BA57" s="1" t="s">
        <v>237</v>
      </c>
      <c r="BB57" s="1" t="s">
        <v>143</v>
      </c>
      <c r="BC57" s="1" t="s">
        <v>59</v>
      </c>
      <c r="BD57" s="1" t="s">
        <v>238</v>
      </c>
    </row>
    <row r="58" spans="1:56" ht="15.75" customHeight="1">
      <c r="A58" s="1">
        <f t="shared" si="0"/>
        <v>20012</v>
      </c>
      <c r="B58" s="1">
        <v>2</v>
      </c>
      <c r="C58" s="1">
        <v>0</v>
      </c>
      <c r="D58" s="1">
        <v>2</v>
      </c>
      <c r="E58" s="1">
        <f t="shared" si="1"/>
        <v>1</v>
      </c>
      <c r="G58" s="1">
        <v>40</v>
      </c>
      <c r="H58" s="1">
        <v>30</v>
      </c>
      <c r="J58" s="1">
        <v>2</v>
      </c>
      <c r="S58" s="1">
        <v>7</v>
      </c>
      <c r="T58" s="1"/>
      <c r="AU58" s="1">
        <v>22</v>
      </c>
      <c r="AV58" s="1" t="s">
        <v>236</v>
      </c>
      <c r="AW58" s="1" t="s">
        <v>917</v>
      </c>
      <c r="AX58" s="1" t="s">
        <v>182</v>
      </c>
      <c r="AY58" s="1" t="s">
        <v>187</v>
      </c>
      <c r="AZ58" s="1" t="s">
        <v>940</v>
      </c>
      <c r="BA58" s="1" t="s">
        <v>237</v>
      </c>
      <c r="BB58" s="1" t="s">
        <v>143</v>
      </c>
      <c r="BC58" s="1" t="s">
        <v>59</v>
      </c>
      <c r="BD58" s="1" t="s">
        <v>238</v>
      </c>
    </row>
    <row r="59" spans="1:56" ht="15.75" customHeight="1">
      <c r="A59" s="1">
        <f t="shared" si="0"/>
        <v>20012</v>
      </c>
      <c r="B59" s="1">
        <v>2</v>
      </c>
      <c r="C59" s="1">
        <v>0</v>
      </c>
      <c r="D59" s="1">
        <v>2</v>
      </c>
      <c r="E59" s="1">
        <f t="shared" si="1"/>
        <v>2</v>
      </c>
      <c r="G59" s="1">
        <v>43</v>
      </c>
      <c r="H59" s="1">
        <v>30</v>
      </c>
      <c r="J59" s="1">
        <v>2</v>
      </c>
      <c r="S59" s="1">
        <v>7</v>
      </c>
      <c r="T59" s="1"/>
      <c r="AU59" s="1">
        <v>26</v>
      </c>
      <c r="AV59" s="1" t="s">
        <v>236</v>
      </c>
      <c r="AW59" s="1" t="s">
        <v>918</v>
      </c>
      <c r="AX59" s="1" t="s">
        <v>182</v>
      </c>
      <c r="AY59" s="1" t="s">
        <v>187</v>
      </c>
      <c r="AZ59" s="1" t="s">
        <v>940</v>
      </c>
      <c r="BA59" s="1" t="s">
        <v>237</v>
      </c>
      <c r="BB59" s="1" t="s">
        <v>148</v>
      </c>
      <c r="BC59" s="1" t="s">
        <v>59</v>
      </c>
      <c r="BD59" s="1" t="s">
        <v>238</v>
      </c>
    </row>
    <row r="60" spans="1:56" ht="15.75" customHeight="1">
      <c r="A60" s="1">
        <f t="shared" si="0"/>
        <v>20012</v>
      </c>
      <c r="B60" s="1">
        <v>2</v>
      </c>
      <c r="C60" s="1">
        <v>0</v>
      </c>
      <c r="D60" s="1">
        <v>2</v>
      </c>
      <c r="E60" s="1">
        <f t="shared" si="1"/>
        <v>3</v>
      </c>
      <c r="G60" s="1">
        <v>46</v>
      </c>
      <c r="H60" s="1">
        <v>30</v>
      </c>
      <c r="J60" s="1">
        <v>2</v>
      </c>
      <c r="S60" s="1">
        <v>14</v>
      </c>
      <c r="T60" s="1"/>
      <c r="AU60" s="1">
        <v>26</v>
      </c>
      <c r="AV60" s="1" t="s">
        <v>236</v>
      </c>
      <c r="AW60" s="1" t="s">
        <v>919</v>
      </c>
      <c r="AX60" s="1" t="s">
        <v>182</v>
      </c>
      <c r="AY60" s="1" t="s">
        <v>187</v>
      </c>
      <c r="AZ60" s="1" t="s">
        <v>937</v>
      </c>
      <c r="BA60" s="1" t="s">
        <v>237</v>
      </c>
      <c r="BB60" s="1" t="s">
        <v>148</v>
      </c>
      <c r="BC60" s="1" t="s">
        <v>59</v>
      </c>
      <c r="BD60" s="1" t="s">
        <v>238</v>
      </c>
    </row>
    <row r="61" spans="1:56" ht="15.75" customHeight="1">
      <c r="A61" s="1">
        <f t="shared" si="0"/>
        <v>20012</v>
      </c>
      <c r="B61" s="1">
        <v>2</v>
      </c>
      <c r="C61" s="1">
        <v>0</v>
      </c>
      <c r="D61" s="1">
        <v>2</v>
      </c>
      <c r="E61" s="1">
        <f t="shared" si="1"/>
        <v>4</v>
      </c>
      <c r="G61" s="1">
        <v>49</v>
      </c>
      <c r="H61" s="1">
        <v>30</v>
      </c>
      <c r="J61" s="1">
        <v>4</v>
      </c>
      <c r="S61" s="1">
        <v>14</v>
      </c>
      <c r="T61" s="1"/>
      <c r="AU61" s="1">
        <v>30</v>
      </c>
      <c r="AV61" s="1" t="s">
        <v>236</v>
      </c>
      <c r="AW61" s="1" t="s">
        <v>920</v>
      </c>
      <c r="AX61" s="1" t="s">
        <v>182</v>
      </c>
      <c r="AY61" s="1" t="s">
        <v>193</v>
      </c>
      <c r="AZ61" s="1" t="s">
        <v>937</v>
      </c>
      <c r="BA61" s="1" t="s">
        <v>237</v>
      </c>
      <c r="BB61" s="1" t="s">
        <v>152</v>
      </c>
      <c r="BC61" s="1" t="s">
        <v>59</v>
      </c>
      <c r="BD61" s="1" t="s">
        <v>238</v>
      </c>
    </row>
    <row r="62" spans="1:56" ht="15.75" customHeight="1">
      <c r="A62" s="1">
        <f t="shared" si="0"/>
        <v>20013</v>
      </c>
      <c r="B62" s="1">
        <v>0</v>
      </c>
      <c r="C62" s="1">
        <v>0</v>
      </c>
      <c r="D62" s="1">
        <v>2</v>
      </c>
      <c r="E62" s="1">
        <f t="shared" si="1"/>
        <v>0</v>
      </c>
      <c r="G62" s="1">
        <v>37</v>
      </c>
      <c r="Q62" s="1">
        <v>5</v>
      </c>
      <c r="R62" s="1"/>
      <c r="W62" s="1">
        <v>2</v>
      </c>
      <c r="AU62" s="1">
        <v>22</v>
      </c>
      <c r="AV62" s="1" t="s">
        <v>239</v>
      </c>
      <c r="AW62" s="1" t="s">
        <v>927</v>
      </c>
      <c r="AX62" s="1" t="s">
        <v>240</v>
      </c>
      <c r="AY62" s="1" t="s">
        <v>241</v>
      </c>
      <c r="AZ62" s="1" t="s">
        <v>242</v>
      </c>
      <c r="BA62" s="1" t="s">
        <v>243</v>
      </c>
      <c r="BB62" s="1" t="s">
        <v>158</v>
      </c>
      <c r="BC62" s="1" t="s">
        <v>59</v>
      </c>
      <c r="BD62" s="1" t="s">
        <v>244</v>
      </c>
    </row>
    <row r="63" spans="1:56" ht="15.75" customHeight="1">
      <c r="A63" s="1">
        <f t="shared" si="0"/>
        <v>20013</v>
      </c>
      <c r="B63" s="1">
        <v>0</v>
      </c>
      <c r="C63" s="1">
        <v>0</v>
      </c>
      <c r="D63" s="1">
        <v>2</v>
      </c>
      <c r="E63" s="1">
        <f t="shared" si="1"/>
        <v>1</v>
      </c>
      <c r="G63" s="1">
        <v>40</v>
      </c>
      <c r="Q63" s="1">
        <v>5</v>
      </c>
      <c r="R63" s="1"/>
      <c r="W63" s="1">
        <v>2</v>
      </c>
      <c r="AU63" s="1">
        <v>22</v>
      </c>
      <c r="AV63" s="1" t="s">
        <v>239</v>
      </c>
      <c r="AW63" s="1" t="s">
        <v>925</v>
      </c>
      <c r="AX63" s="1" t="s">
        <v>245</v>
      </c>
      <c r="AY63" s="1" t="s">
        <v>241</v>
      </c>
      <c r="AZ63" s="1" t="s">
        <v>242</v>
      </c>
      <c r="BA63" s="1" t="s">
        <v>243</v>
      </c>
      <c r="BB63" s="1" t="s">
        <v>158</v>
      </c>
      <c r="BC63" s="1" t="s">
        <v>59</v>
      </c>
      <c r="BD63" s="1" t="s">
        <v>244</v>
      </c>
    </row>
    <row r="64" spans="1:56" ht="15.75" customHeight="1">
      <c r="A64" s="1">
        <f t="shared" si="0"/>
        <v>20013</v>
      </c>
      <c r="B64" s="1">
        <v>0</v>
      </c>
      <c r="C64" s="1">
        <v>0</v>
      </c>
      <c r="D64" s="1">
        <v>2</v>
      </c>
      <c r="E64" s="1">
        <f t="shared" si="1"/>
        <v>2</v>
      </c>
      <c r="G64" s="1">
        <v>43</v>
      </c>
      <c r="Q64" s="1">
        <v>5</v>
      </c>
      <c r="R64" s="1"/>
      <c r="W64" s="1">
        <v>2</v>
      </c>
      <c r="AU64" s="1">
        <v>26</v>
      </c>
      <c r="AV64" s="1" t="s">
        <v>239</v>
      </c>
      <c r="AW64" s="1" t="s">
        <v>929</v>
      </c>
      <c r="AX64" s="1" t="s">
        <v>245</v>
      </c>
      <c r="AY64" s="1" t="s">
        <v>241</v>
      </c>
      <c r="AZ64" s="1" t="s">
        <v>242</v>
      </c>
      <c r="BA64" s="1" t="s">
        <v>243</v>
      </c>
      <c r="BB64" s="1" t="s">
        <v>163</v>
      </c>
      <c r="BC64" s="1" t="s">
        <v>59</v>
      </c>
      <c r="BD64" s="1" t="s">
        <v>244</v>
      </c>
    </row>
    <row r="65" spans="1:56" ht="15.75" customHeight="1">
      <c r="A65" s="1">
        <f t="shared" si="0"/>
        <v>20013</v>
      </c>
      <c r="B65" s="1">
        <v>0</v>
      </c>
      <c r="C65" s="1">
        <v>0</v>
      </c>
      <c r="D65" s="1">
        <v>2</v>
      </c>
      <c r="E65" s="1">
        <f t="shared" si="1"/>
        <v>3</v>
      </c>
      <c r="G65" s="1">
        <v>46</v>
      </c>
      <c r="Q65" s="1">
        <v>10</v>
      </c>
      <c r="R65" s="1"/>
      <c r="W65" s="1">
        <v>2</v>
      </c>
      <c r="AU65" s="1">
        <v>26</v>
      </c>
      <c r="AV65" s="1" t="s">
        <v>239</v>
      </c>
      <c r="AW65" s="1" t="s">
        <v>931</v>
      </c>
      <c r="AX65" s="1" t="s">
        <v>245</v>
      </c>
      <c r="AY65" s="1" t="s">
        <v>241</v>
      </c>
      <c r="AZ65" s="1" t="s">
        <v>246</v>
      </c>
      <c r="BA65" s="1" t="s">
        <v>243</v>
      </c>
      <c r="BB65" s="1" t="s">
        <v>163</v>
      </c>
      <c r="BC65" s="1" t="s">
        <v>59</v>
      </c>
      <c r="BD65" s="1" t="s">
        <v>244</v>
      </c>
    </row>
    <row r="66" spans="1:56" ht="15.75" customHeight="1">
      <c r="A66" s="1">
        <f t="shared" si="0"/>
        <v>20013</v>
      </c>
      <c r="B66" s="1">
        <v>0</v>
      </c>
      <c r="C66" s="1">
        <v>0</v>
      </c>
      <c r="D66" s="1">
        <v>2</v>
      </c>
      <c r="E66" s="1">
        <f t="shared" si="1"/>
        <v>4</v>
      </c>
      <c r="G66" s="1">
        <v>49</v>
      </c>
      <c r="Q66" s="1">
        <v>10</v>
      </c>
      <c r="R66" s="1"/>
      <c r="W66" s="1">
        <v>3</v>
      </c>
      <c r="AU66" s="1">
        <v>30</v>
      </c>
      <c r="AV66" s="1" t="s">
        <v>239</v>
      </c>
      <c r="AW66" s="1" t="s">
        <v>933</v>
      </c>
      <c r="AX66" s="1" t="s">
        <v>245</v>
      </c>
      <c r="AY66" s="1" t="s">
        <v>247</v>
      </c>
      <c r="AZ66" s="1" t="s">
        <v>246</v>
      </c>
      <c r="BA66" s="1" t="s">
        <v>243</v>
      </c>
      <c r="BB66" s="1" t="s">
        <v>167</v>
      </c>
      <c r="BC66" s="1" t="s">
        <v>59</v>
      </c>
      <c r="BD66" s="1" t="s">
        <v>244</v>
      </c>
    </row>
    <row r="67" spans="1:56" ht="15.75" customHeight="1">
      <c r="A67" s="1">
        <f t="shared" si="0"/>
        <v>20014</v>
      </c>
      <c r="B67" s="1">
        <v>2</v>
      </c>
      <c r="C67" s="1">
        <v>0</v>
      </c>
      <c r="D67" s="1">
        <v>2</v>
      </c>
      <c r="E67" s="1">
        <f t="shared" si="1"/>
        <v>0</v>
      </c>
      <c r="G67" s="1">
        <v>37</v>
      </c>
      <c r="N67" s="1">
        <v>9</v>
      </c>
      <c r="W67" s="1">
        <v>2</v>
      </c>
      <c r="AU67" s="1">
        <v>22</v>
      </c>
      <c r="AV67" s="1" t="s">
        <v>248</v>
      </c>
      <c r="AW67" s="1" t="s">
        <v>916</v>
      </c>
      <c r="AX67" s="1" t="s">
        <v>240</v>
      </c>
      <c r="AY67" s="1" t="s">
        <v>249</v>
      </c>
      <c r="AZ67" s="1" t="s">
        <v>250</v>
      </c>
      <c r="BA67" s="1" t="s">
        <v>251</v>
      </c>
      <c r="BB67" s="1" t="s">
        <v>143</v>
      </c>
      <c r="BC67" s="1" t="s">
        <v>59</v>
      </c>
      <c r="BD67" s="1" t="s">
        <v>252</v>
      </c>
    </row>
    <row r="68" spans="1:56" ht="15.75" customHeight="1">
      <c r="A68" s="1">
        <f t="shared" si="0"/>
        <v>20014</v>
      </c>
      <c r="B68" s="1">
        <v>2</v>
      </c>
      <c r="C68" s="1">
        <v>0</v>
      </c>
      <c r="D68" s="1">
        <v>2</v>
      </c>
      <c r="E68" s="1">
        <f t="shared" si="1"/>
        <v>1</v>
      </c>
      <c r="G68" s="1">
        <v>40</v>
      </c>
      <c r="N68" s="1">
        <v>9</v>
      </c>
      <c r="W68" s="1">
        <v>2</v>
      </c>
      <c r="AU68" s="1">
        <v>22</v>
      </c>
      <c r="AV68" s="1" t="s">
        <v>248</v>
      </c>
      <c r="AW68" s="1" t="s">
        <v>917</v>
      </c>
      <c r="AX68" s="1" t="s">
        <v>245</v>
      </c>
      <c r="AY68" s="1" t="s">
        <v>249</v>
      </c>
      <c r="AZ68" s="1" t="s">
        <v>250</v>
      </c>
      <c r="BA68" s="1" t="s">
        <v>251</v>
      </c>
      <c r="BB68" s="1" t="s">
        <v>143</v>
      </c>
      <c r="BC68" s="1" t="s">
        <v>59</v>
      </c>
      <c r="BD68" s="1" t="s">
        <v>252</v>
      </c>
    </row>
    <row r="69" spans="1:56" ht="15.75" customHeight="1">
      <c r="A69" s="1">
        <f t="shared" si="0"/>
        <v>20014</v>
      </c>
      <c r="B69" s="1">
        <v>2</v>
      </c>
      <c r="C69" s="1">
        <v>0</v>
      </c>
      <c r="D69" s="1">
        <v>2</v>
      </c>
      <c r="E69" s="1">
        <f t="shared" si="1"/>
        <v>2</v>
      </c>
      <c r="G69" s="1">
        <v>43</v>
      </c>
      <c r="N69" s="1">
        <v>9</v>
      </c>
      <c r="W69" s="1">
        <v>2</v>
      </c>
      <c r="AU69" s="1">
        <v>26</v>
      </c>
      <c r="AV69" s="1" t="s">
        <v>248</v>
      </c>
      <c r="AW69" s="1" t="s">
        <v>918</v>
      </c>
      <c r="AX69" s="1" t="s">
        <v>245</v>
      </c>
      <c r="AY69" s="1" t="s">
        <v>249</v>
      </c>
      <c r="AZ69" s="1" t="s">
        <v>250</v>
      </c>
      <c r="BA69" s="1" t="s">
        <v>251</v>
      </c>
      <c r="BB69" s="1" t="s">
        <v>148</v>
      </c>
      <c r="BC69" s="1" t="s">
        <v>59</v>
      </c>
      <c r="BD69" s="1" t="s">
        <v>252</v>
      </c>
    </row>
    <row r="70" spans="1:56" ht="15.75" customHeight="1">
      <c r="A70" s="1">
        <f t="shared" si="0"/>
        <v>20014</v>
      </c>
      <c r="B70" s="1">
        <v>2</v>
      </c>
      <c r="C70" s="1">
        <v>0</v>
      </c>
      <c r="D70" s="1">
        <v>2</v>
      </c>
      <c r="E70" s="1">
        <f t="shared" si="1"/>
        <v>3</v>
      </c>
      <c r="G70" s="1">
        <v>46</v>
      </c>
      <c r="N70" s="1">
        <v>17</v>
      </c>
      <c r="W70" s="1">
        <v>2</v>
      </c>
      <c r="AU70" s="1">
        <v>26</v>
      </c>
      <c r="AV70" s="1" t="s">
        <v>248</v>
      </c>
      <c r="AW70" s="1" t="s">
        <v>919</v>
      </c>
      <c r="AX70" s="1" t="s">
        <v>245</v>
      </c>
      <c r="AY70" s="1" t="s">
        <v>249</v>
      </c>
      <c r="AZ70" s="1" t="s">
        <v>253</v>
      </c>
      <c r="BA70" s="1" t="s">
        <v>251</v>
      </c>
      <c r="BB70" s="1" t="s">
        <v>148</v>
      </c>
      <c r="BC70" s="1" t="s">
        <v>59</v>
      </c>
      <c r="BD70" s="1" t="s">
        <v>252</v>
      </c>
    </row>
    <row r="71" spans="1:56" ht="15.75" customHeight="1">
      <c r="A71" s="1">
        <f t="shared" si="0"/>
        <v>20014</v>
      </c>
      <c r="B71" s="1">
        <v>2</v>
      </c>
      <c r="C71" s="1">
        <v>0</v>
      </c>
      <c r="D71" s="1">
        <v>2</v>
      </c>
      <c r="E71" s="1">
        <f t="shared" si="1"/>
        <v>4</v>
      </c>
      <c r="G71" s="1">
        <v>49</v>
      </c>
      <c r="N71" s="1">
        <v>17</v>
      </c>
      <c r="W71" s="1">
        <v>3</v>
      </c>
      <c r="AU71" s="1">
        <v>30</v>
      </c>
      <c r="AV71" s="1" t="s">
        <v>248</v>
      </c>
      <c r="AW71" s="1" t="s">
        <v>920</v>
      </c>
      <c r="AX71" s="1" t="s">
        <v>245</v>
      </c>
      <c r="AY71" s="1" t="s">
        <v>254</v>
      </c>
      <c r="AZ71" s="1" t="s">
        <v>253</v>
      </c>
      <c r="BA71" s="1" t="s">
        <v>251</v>
      </c>
      <c r="BB71" s="1" t="s">
        <v>152</v>
      </c>
      <c r="BC71" s="1" t="s">
        <v>59</v>
      </c>
      <c r="BD71" s="1" t="s">
        <v>252</v>
      </c>
    </row>
    <row r="72" spans="1:56" ht="15.75" customHeight="1">
      <c r="A72" s="1">
        <f t="shared" si="0"/>
        <v>20015</v>
      </c>
      <c r="B72" s="1">
        <v>0</v>
      </c>
      <c r="C72" s="1">
        <v>2</v>
      </c>
      <c r="D72" s="1">
        <v>2</v>
      </c>
      <c r="E72" s="1">
        <f t="shared" si="1"/>
        <v>0</v>
      </c>
      <c r="G72" s="1">
        <v>37</v>
      </c>
      <c r="N72" s="1">
        <v>9</v>
      </c>
      <c r="Q72" s="1">
        <v>5</v>
      </c>
      <c r="R72" s="1"/>
      <c r="AU72" s="1">
        <v>22</v>
      </c>
      <c r="AV72" s="1" t="s">
        <v>255</v>
      </c>
      <c r="AW72" s="1" t="s">
        <v>927</v>
      </c>
      <c r="AX72" s="1" t="s">
        <v>169</v>
      </c>
      <c r="AY72" s="1" t="s">
        <v>256</v>
      </c>
      <c r="AZ72" s="1" t="s">
        <v>242</v>
      </c>
      <c r="BA72" s="1" t="s">
        <v>257</v>
      </c>
      <c r="BB72" s="1" t="s">
        <v>158</v>
      </c>
      <c r="BC72" s="1" t="s">
        <v>59</v>
      </c>
      <c r="BD72" s="5" t="s">
        <v>258</v>
      </c>
    </row>
    <row r="73" spans="1:56" ht="15.75" customHeight="1">
      <c r="A73" s="1">
        <f t="shared" si="0"/>
        <v>20015</v>
      </c>
      <c r="B73" s="1">
        <v>0</v>
      </c>
      <c r="C73" s="1">
        <v>2</v>
      </c>
      <c r="D73" s="1">
        <v>2</v>
      </c>
      <c r="E73" s="1">
        <f t="shared" si="1"/>
        <v>1</v>
      </c>
      <c r="G73" s="1">
        <v>40</v>
      </c>
      <c r="N73" s="1">
        <v>9</v>
      </c>
      <c r="Q73" s="1">
        <v>5</v>
      </c>
      <c r="R73" s="1"/>
      <c r="AU73" s="1">
        <v>22</v>
      </c>
      <c r="AV73" s="1" t="s">
        <v>255</v>
      </c>
      <c r="AW73" s="1" t="s">
        <v>925</v>
      </c>
      <c r="AX73" s="1" t="s">
        <v>174</v>
      </c>
      <c r="AY73" s="1" t="s">
        <v>256</v>
      </c>
      <c r="AZ73" s="1" t="s">
        <v>242</v>
      </c>
      <c r="BA73" s="1" t="s">
        <v>257</v>
      </c>
      <c r="BB73" s="1" t="s">
        <v>158</v>
      </c>
      <c r="BC73" s="1" t="s">
        <v>59</v>
      </c>
      <c r="BD73" s="5" t="s">
        <v>258</v>
      </c>
    </row>
    <row r="74" spans="1:56" ht="15.75" customHeight="1">
      <c r="A74" s="1">
        <f t="shared" si="0"/>
        <v>20015</v>
      </c>
      <c r="B74" s="1">
        <v>0</v>
      </c>
      <c r="C74" s="1">
        <v>2</v>
      </c>
      <c r="D74" s="1">
        <v>2</v>
      </c>
      <c r="E74" s="1">
        <f t="shared" si="1"/>
        <v>2</v>
      </c>
      <c r="G74" s="1">
        <v>43</v>
      </c>
      <c r="N74" s="1">
        <v>9</v>
      </c>
      <c r="Q74" s="1">
        <v>5</v>
      </c>
      <c r="R74" s="1"/>
      <c r="AU74" s="1">
        <v>26</v>
      </c>
      <c r="AV74" s="1" t="s">
        <v>255</v>
      </c>
      <c r="AW74" s="1" t="s">
        <v>929</v>
      </c>
      <c r="AX74" s="1" t="s">
        <v>174</v>
      </c>
      <c r="AY74" s="1" t="s">
        <v>256</v>
      </c>
      <c r="AZ74" s="1" t="s">
        <v>242</v>
      </c>
      <c r="BA74" s="1" t="s">
        <v>257</v>
      </c>
      <c r="BB74" s="1" t="s">
        <v>163</v>
      </c>
      <c r="BC74" s="1" t="s">
        <v>59</v>
      </c>
      <c r="BD74" s="5" t="s">
        <v>258</v>
      </c>
    </row>
    <row r="75" spans="1:56" ht="15.75" customHeight="1">
      <c r="A75" s="1">
        <f t="shared" si="0"/>
        <v>20015</v>
      </c>
      <c r="B75" s="1">
        <v>0</v>
      </c>
      <c r="C75" s="1">
        <v>2</v>
      </c>
      <c r="D75" s="1">
        <v>2</v>
      </c>
      <c r="E75" s="1">
        <f t="shared" si="1"/>
        <v>3</v>
      </c>
      <c r="G75" s="1">
        <v>46</v>
      </c>
      <c r="N75" s="1">
        <v>9</v>
      </c>
      <c r="Q75" s="1">
        <v>10</v>
      </c>
      <c r="R75" s="1"/>
      <c r="AU75" s="1">
        <v>26</v>
      </c>
      <c r="AV75" s="1" t="s">
        <v>255</v>
      </c>
      <c r="AW75" s="1" t="s">
        <v>931</v>
      </c>
      <c r="AX75" s="1" t="s">
        <v>174</v>
      </c>
      <c r="AY75" s="1" t="s">
        <v>256</v>
      </c>
      <c r="AZ75" s="1" t="s">
        <v>246</v>
      </c>
      <c r="BA75" s="1" t="s">
        <v>257</v>
      </c>
      <c r="BB75" s="1" t="s">
        <v>163</v>
      </c>
      <c r="BC75" s="1" t="s">
        <v>59</v>
      </c>
      <c r="BD75" s="5" t="s">
        <v>258</v>
      </c>
    </row>
    <row r="76" spans="1:56" ht="15.75" customHeight="1">
      <c r="A76" s="1">
        <f t="shared" si="0"/>
        <v>20015</v>
      </c>
      <c r="B76" s="1">
        <v>0</v>
      </c>
      <c r="C76" s="1">
        <v>2</v>
      </c>
      <c r="D76" s="1">
        <v>2</v>
      </c>
      <c r="E76" s="1">
        <f t="shared" si="1"/>
        <v>4</v>
      </c>
      <c r="G76" s="1">
        <v>49</v>
      </c>
      <c r="N76" s="1">
        <v>17</v>
      </c>
      <c r="Q76" s="1">
        <v>10</v>
      </c>
      <c r="R76" s="1"/>
      <c r="AU76" s="1">
        <v>30</v>
      </c>
      <c r="AV76" s="1" t="s">
        <v>255</v>
      </c>
      <c r="AW76" s="1" t="s">
        <v>933</v>
      </c>
      <c r="AX76" s="1" t="s">
        <v>174</v>
      </c>
      <c r="AY76" s="1" t="s">
        <v>259</v>
      </c>
      <c r="AZ76" s="1" t="s">
        <v>246</v>
      </c>
      <c r="BA76" s="1" t="s">
        <v>257</v>
      </c>
      <c r="BB76" s="1" t="s">
        <v>167</v>
      </c>
      <c r="BC76" s="1" t="s">
        <v>59</v>
      </c>
      <c r="BD76" s="5" t="s">
        <v>258</v>
      </c>
    </row>
    <row r="77" spans="1:56" ht="15.75" customHeight="1">
      <c r="A77" s="1">
        <f t="shared" si="0"/>
        <v>20016</v>
      </c>
      <c r="B77" s="1">
        <v>1</v>
      </c>
      <c r="C77" s="1">
        <v>1</v>
      </c>
      <c r="D77" s="1">
        <v>2</v>
      </c>
      <c r="E77" s="1">
        <f t="shared" si="1"/>
        <v>0</v>
      </c>
      <c r="G77" s="1">
        <v>37</v>
      </c>
      <c r="J77" s="1">
        <v>2</v>
      </c>
      <c r="N77" s="1">
        <v>9</v>
      </c>
      <c r="AU77" s="1">
        <v>22</v>
      </c>
      <c r="AV77" s="1" t="s">
        <v>260</v>
      </c>
      <c r="AW77" s="1" t="s">
        <v>928</v>
      </c>
      <c r="AX77" s="1" t="s">
        <v>229</v>
      </c>
      <c r="AY77" s="1" t="s">
        <v>202</v>
      </c>
      <c r="AZ77" s="1" t="s">
        <v>261</v>
      </c>
      <c r="BA77" s="1" t="s">
        <v>262</v>
      </c>
      <c r="BB77" s="1" t="s">
        <v>205</v>
      </c>
      <c r="BC77" s="1" t="s">
        <v>59</v>
      </c>
      <c r="BD77" s="1" t="s">
        <v>263</v>
      </c>
    </row>
    <row r="78" spans="1:56" ht="15.75" customHeight="1">
      <c r="A78" s="1">
        <f t="shared" si="0"/>
        <v>20016</v>
      </c>
      <c r="B78" s="1">
        <v>1</v>
      </c>
      <c r="C78" s="1">
        <v>1</v>
      </c>
      <c r="D78" s="1">
        <v>2</v>
      </c>
      <c r="E78" s="1">
        <f t="shared" si="1"/>
        <v>1</v>
      </c>
      <c r="G78" s="1">
        <v>40</v>
      </c>
      <c r="J78" s="1">
        <v>2</v>
      </c>
      <c r="N78" s="1">
        <v>9</v>
      </c>
      <c r="AU78" s="1">
        <v>22</v>
      </c>
      <c r="AV78" s="1" t="s">
        <v>260</v>
      </c>
      <c r="AW78" s="1" t="s">
        <v>926</v>
      </c>
      <c r="AX78" s="1" t="s">
        <v>232</v>
      </c>
      <c r="AY78" s="1" t="s">
        <v>202</v>
      </c>
      <c r="AZ78" s="1" t="s">
        <v>261</v>
      </c>
      <c r="BA78" s="1" t="s">
        <v>262</v>
      </c>
      <c r="BB78" s="1" t="s">
        <v>205</v>
      </c>
      <c r="BC78" s="1" t="s">
        <v>59</v>
      </c>
      <c r="BD78" s="1" t="s">
        <v>263</v>
      </c>
    </row>
    <row r="79" spans="1:56" ht="15.75" customHeight="1">
      <c r="A79" s="1">
        <f t="shared" si="0"/>
        <v>20016</v>
      </c>
      <c r="B79" s="1">
        <v>1</v>
      </c>
      <c r="C79" s="1">
        <v>1</v>
      </c>
      <c r="D79" s="1">
        <v>2</v>
      </c>
      <c r="E79" s="1">
        <f t="shared" si="1"/>
        <v>2</v>
      </c>
      <c r="G79" s="1">
        <v>43</v>
      </c>
      <c r="J79" s="1">
        <v>2</v>
      </c>
      <c r="N79" s="1">
        <v>9</v>
      </c>
      <c r="AU79" s="1">
        <v>26</v>
      </c>
      <c r="AV79" s="1" t="s">
        <v>260</v>
      </c>
      <c r="AW79" s="1" t="s">
        <v>930</v>
      </c>
      <c r="AX79" s="1" t="s">
        <v>232</v>
      </c>
      <c r="AY79" s="1" t="s">
        <v>202</v>
      </c>
      <c r="AZ79" s="1" t="s">
        <v>261</v>
      </c>
      <c r="BA79" s="1" t="s">
        <v>262</v>
      </c>
      <c r="BB79" s="1" t="s">
        <v>209</v>
      </c>
      <c r="BC79" s="1" t="s">
        <v>59</v>
      </c>
      <c r="BD79" s="1" t="s">
        <v>263</v>
      </c>
    </row>
    <row r="80" spans="1:56" ht="15.75" customHeight="1">
      <c r="A80" s="1">
        <f t="shared" si="0"/>
        <v>20016</v>
      </c>
      <c r="B80" s="1">
        <v>1</v>
      </c>
      <c r="C80" s="1">
        <v>1</v>
      </c>
      <c r="D80" s="1">
        <v>2</v>
      </c>
      <c r="E80" s="1">
        <f t="shared" si="1"/>
        <v>3</v>
      </c>
      <c r="G80" s="1">
        <v>46</v>
      </c>
      <c r="J80" s="1">
        <v>2</v>
      </c>
      <c r="N80" s="1">
        <v>17</v>
      </c>
      <c r="AU80" s="1">
        <v>26</v>
      </c>
      <c r="AV80" s="1" t="s">
        <v>260</v>
      </c>
      <c r="AW80" s="1" t="s">
        <v>932</v>
      </c>
      <c r="AX80" s="1" t="s">
        <v>232</v>
      </c>
      <c r="AY80" s="1" t="s">
        <v>202</v>
      </c>
      <c r="AZ80" s="1" t="s">
        <v>264</v>
      </c>
      <c r="BA80" s="1" t="s">
        <v>262</v>
      </c>
      <c r="BB80" s="1" t="s">
        <v>209</v>
      </c>
      <c r="BC80" s="1" t="s">
        <v>59</v>
      </c>
      <c r="BD80" s="1" t="s">
        <v>263</v>
      </c>
    </row>
    <row r="81" spans="1:56" ht="15.75" customHeight="1">
      <c r="A81" s="1">
        <f t="shared" si="0"/>
        <v>20016</v>
      </c>
      <c r="B81" s="1">
        <v>1</v>
      </c>
      <c r="C81" s="1">
        <v>1</v>
      </c>
      <c r="D81" s="1">
        <v>2</v>
      </c>
      <c r="E81" s="1">
        <f t="shared" si="1"/>
        <v>4</v>
      </c>
      <c r="G81" s="1">
        <v>49</v>
      </c>
      <c r="J81" s="1">
        <v>4</v>
      </c>
      <c r="N81" s="1">
        <v>17</v>
      </c>
      <c r="AU81" s="1">
        <v>30</v>
      </c>
      <c r="AV81" s="1" t="s">
        <v>260</v>
      </c>
      <c r="AW81" s="1" t="s">
        <v>934</v>
      </c>
      <c r="AX81" s="1" t="s">
        <v>232</v>
      </c>
      <c r="AY81" s="1" t="s">
        <v>213</v>
      </c>
      <c r="AZ81" s="1" t="s">
        <v>264</v>
      </c>
      <c r="BA81" s="1" t="s">
        <v>262</v>
      </c>
      <c r="BB81" s="1" t="s">
        <v>214</v>
      </c>
      <c r="BC81" s="1" t="s">
        <v>59</v>
      </c>
      <c r="BD81" s="1" t="s">
        <v>263</v>
      </c>
    </row>
    <row r="82" spans="1:56" ht="15.75" customHeight="1">
      <c r="A82" s="1">
        <f t="shared" si="0"/>
        <v>20017</v>
      </c>
      <c r="B82" s="1">
        <v>1</v>
      </c>
      <c r="C82" s="1">
        <v>1</v>
      </c>
      <c r="D82" s="1">
        <v>2</v>
      </c>
      <c r="E82" s="1">
        <f t="shared" si="1"/>
        <v>0</v>
      </c>
      <c r="F82" s="1">
        <v>10.5</v>
      </c>
      <c r="G82" s="1">
        <v>37</v>
      </c>
      <c r="J82" s="1">
        <v>2</v>
      </c>
      <c r="O82" s="1">
        <v>6</v>
      </c>
      <c r="P82" s="1"/>
      <c r="AU82" s="1">
        <v>22</v>
      </c>
      <c r="AV82" s="1" t="s">
        <v>265</v>
      </c>
      <c r="AW82" s="1" t="s">
        <v>928</v>
      </c>
      <c r="AX82" s="1" t="s">
        <v>216</v>
      </c>
      <c r="AY82" s="1" t="s">
        <v>202</v>
      </c>
      <c r="AZ82" s="1" t="s">
        <v>203</v>
      </c>
      <c r="BA82" s="1" t="s">
        <v>266</v>
      </c>
      <c r="BB82" s="1" t="s">
        <v>205</v>
      </c>
      <c r="BC82" s="1" t="s">
        <v>59</v>
      </c>
      <c r="BD82" s="1" t="s">
        <v>267</v>
      </c>
    </row>
    <row r="83" spans="1:56" ht="15.75" customHeight="1">
      <c r="A83" s="1">
        <f t="shared" si="0"/>
        <v>20017</v>
      </c>
      <c r="B83" s="1">
        <v>1</v>
      </c>
      <c r="C83" s="1">
        <v>1</v>
      </c>
      <c r="D83" s="1">
        <v>2</v>
      </c>
      <c r="E83" s="1">
        <f t="shared" si="1"/>
        <v>1</v>
      </c>
      <c r="F83" s="1">
        <v>21</v>
      </c>
      <c r="G83" s="1">
        <v>40</v>
      </c>
      <c r="J83" s="1">
        <v>2</v>
      </c>
      <c r="O83" s="1">
        <v>6</v>
      </c>
      <c r="P83" s="1"/>
      <c r="AU83" s="1">
        <v>22</v>
      </c>
      <c r="AV83" s="1" t="s">
        <v>265</v>
      </c>
      <c r="AW83" s="1" t="s">
        <v>926</v>
      </c>
      <c r="AX83" s="1" t="s">
        <v>220</v>
      </c>
      <c r="AY83" s="1" t="s">
        <v>202</v>
      </c>
      <c r="AZ83" s="1" t="s">
        <v>203</v>
      </c>
      <c r="BA83" s="1" t="s">
        <v>266</v>
      </c>
      <c r="BB83" s="1" t="s">
        <v>205</v>
      </c>
      <c r="BC83" s="1" t="s">
        <v>59</v>
      </c>
      <c r="BD83" s="1" t="s">
        <v>267</v>
      </c>
    </row>
    <row r="84" spans="1:56" ht="15.75" customHeight="1">
      <c r="A84" s="1">
        <f t="shared" si="0"/>
        <v>20017</v>
      </c>
      <c r="B84" s="1">
        <v>1</v>
      </c>
      <c r="C84" s="1">
        <v>1</v>
      </c>
      <c r="D84" s="1">
        <v>2</v>
      </c>
      <c r="E84" s="1">
        <f t="shared" si="1"/>
        <v>2</v>
      </c>
      <c r="F84" s="1">
        <v>21</v>
      </c>
      <c r="G84" s="1">
        <v>43</v>
      </c>
      <c r="J84" s="1">
        <v>2</v>
      </c>
      <c r="O84" s="1">
        <v>6</v>
      </c>
      <c r="P84" s="1"/>
      <c r="AU84" s="1">
        <v>26</v>
      </c>
      <c r="AV84" s="1" t="s">
        <v>265</v>
      </c>
      <c r="AW84" s="1" t="s">
        <v>930</v>
      </c>
      <c r="AX84" s="1" t="s">
        <v>220</v>
      </c>
      <c r="AY84" s="1" t="s">
        <v>202</v>
      </c>
      <c r="AZ84" s="1" t="s">
        <v>203</v>
      </c>
      <c r="BA84" s="1" t="s">
        <v>266</v>
      </c>
      <c r="BB84" s="1" t="s">
        <v>209</v>
      </c>
      <c r="BC84" s="1" t="s">
        <v>59</v>
      </c>
      <c r="BD84" s="1" t="s">
        <v>267</v>
      </c>
    </row>
    <row r="85" spans="1:56" ht="15.75" customHeight="1">
      <c r="A85" s="1">
        <f t="shared" si="0"/>
        <v>20017</v>
      </c>
      <c r="B85" s="1">
        <v>1</v>
      </c>
      <c r="C85" s="1">
        <v>1</v>
      </c>
      <c r="D85" s="1">
        <v>2</v>
      </c>
      <c r="E85" s="1">
        <f t="shared" si="1"/>
        <v>3</v>
      </c>
      <c r="F85" s="1">
        <v>21</v>
      </c>
      <c r="G85" s="1">
        <v>46</v>
      </c>
      <c r="J85" s="1">
        <v>2</v>
      </c>
      <c r="O85" s="1">
        <v>11</v>
      </c>
      <c r="P85" s="1"/>
      <c r="AU85" s="1">
        <v>26</v>
      </c>
      <c r="AV85" s="1" t="s">
        <v>265</v>
      </c>
      <c r="AW85" s="1" t="s">
        <v>932</v>
      </c>
      <c r="AX85" s="1" t="s">
        <v>220</v>
      </c>
      <c r="AY85" s="1" t="s">
        <v>202</v>
      </c>
      <c r="AZ85" s="1" t="s">
        <v>211</v>
      </c>
      <c r="BA85" s="1" t="s">
        <v>266</v>
      </c>
      <c r="BB85" s="1" t="s">
        <v>209</v>
      </c>
      <c r="BC85" s="1" t="s">
        <v>59</v>
      </c>
      <c r="BD85" s="1" t="s">
        <v>267</v>
      </c>
    </row>
    <row r="86" spans="1:56" ht="15.75" customHeight="1">
      <c r="A86" s="1">
        <f t="shared" si="0"/>
        <v>20017</v>
      </c>
      <c r="B86" s="1">
        <v>1</v>
      </c>
      <c r="C86" s="1">
        <v>1</v>
      </c>
      <c r="D86" s="1">
        <v>2</v>
      </c>
      <c r="E86" s="1">
        <f t="shared" si="1"/>
        <v>4</v>
      </c>
      <c r="F86" s="1">
        <v>21</v>
      </c>
      <c r="G86" s="1">
        <v>49</v>
      </c>
      <c r="J86" s="1">
        <v>4</v>
      </c>
      <c r="O86" s="1">
        <v>11</v>
      </c>
      <c r="P86" s="1"/>
      <c r="AU86" s="1">
        <v>30</v>
      </c>
      <c r="AV86" s="1" t="s">
        <v>265</v>
      </c>
      <c r="AW86" s="1" t="s">
        <v>934</v>
      </c>
      <c r="AX86" s="1" t="s">
        <v>220</v>
      </c>
      <c r="AY86" s="1" t="s">
        <v>213</v>
      </c>
      <c r="AZ86" s="1" t="s">
        <v>211</v>
      </c>
      <c r="BA86" s="1" t="s">
        <v>266</v>
      </c>
      <c r="BB86" s="1" t="s">
        <v>214</v>
      </c>
      <c r="BC86" s="1" t="s">
        <v>59</v>
      </c>
      <c r="BD86" s="1" t="s">
        <v>267</v>
      </c>
    </row>
    <row r="87" spans="1:56" ht="15.75" customHeight="1">
      <c r="A87" s="1">
        <f t="shared" si="0"/>
        <v>20018</v>
      </c>
      <c r="B87" s="1">
        <v>2</v>
      </c>
      <c r="C87" s="1">
        <v>2</v>
      </c>
      <c r="D87" s="1">
        <v>2</v>
      </c>
      <c r="E87" s="1">
        <f t="shared" si="1"/>
        <v>0</v>
      </c>
      <c r="I87" s="1">
        <v>4.3999999999999997E-2</v>
      </c>
      <c r="K87" s="1">
        <v>7</v>
      </c>
      <c r="S87" s="1">
        <v>7</v>
      </c>
      <c r="T87" s="1"/>
      <c r="AU87" s="1">
        <v>22</v>
      </c>
      <c r="AV87" s="1" t="s">
        <v>268</v>
      </c>
      <c r="AW87" s="1" t="s">
        <v>139</v>
      </c>
      <c r="AX87" s="1" t="s">
        <v>240</v>
      </c>
      <c r="AY87" s="1" t="s">
        <v>141</v>
      </c>
      <c r="AZ87" s="1" t="s">
        <v>940</v>
      </c>
      <c r="BA87" s="1" t="s">
        <v>269</v>
      </c>
      <c r="BB87" s="1" t="s">
        <v>143</v>
      </c>
      <c r="BC87" s="1" t="s">
        <v>59</v>
      </c>
      <c r="BD87" s="1" t="s">
        <v>270</v>
      </c>
    </row>
    <row r="88" spans="1:56" ht="15.75" customHeight="1">
      <c r="A88" s="1">
        <f t="shared" si="0"/>
        <v>20018</v>
      </c>
      <c r="B88" s="1">
        <v>2</v>
      </c>
      <c r="C88" s="1">
        <v>2</v>
      </c>
      <c r="D88" s="1">
        <v>2</v>
      </c>
      <c r="E88" s="1">
        <f t="shared" si="1"/>
        <v>1</v>
      </c>
      <c r="I88" s="1">
        <v>4.9000000000000002E-2</v>
      </c>
      <c r="K88" s="1">
        <v>7</v>
      </c>
      <c r="S88" s="1">
        <v>7</v>
      </c>
      <c r="T88" s="1"/>
      <c r="AU88" s="1">
        <v>22</v>
      </c>
      <c r="AV88" s="1" t="s">
        <v>268</v>
      </c>
      <c r="AW88" s="1" t="s">
        <v>145</v>
      </c>
      <c r="AX88" s="1" t="s">
        <v>245</v>
      </c>
      <c r="AY88" s="1" t="s">
        <v>141</v>
      </c>
      <c r="AZ88" s="1" t="s">
        <v>940</v>
      </c>
      <c r="BA88" s="1" t="s">
        <v>269</v>
      </c>
      <c r="BB88" s="1" t="s">
        <v>143</v>
      </c>
      <c r="BC88" s="1" t="s">
        <v>59</v>
      </c>
      <c r="BD88" s="1" t="s">
        <v>270</v>
      </c>
    </row>
    <row r="89" spans="1:56" ht="15.75" customHeight="1">
      <c r="A89" s="1">
        <f t="shared" si="0"/>
        <v>20018</v>
      </c>
      <c r="B89" s="1">
        <v>2</v>
      </c>
      <c r="C89" s="1">
        <v>2</v>
      </c>
      <c r="D89" s="1">
        <v>2</v>
      </c>
      <c r="E89" s="1">
        <f t="shared" si="1"/>
        <v>2</v>
      </c>
      <c r="I89" s="1">
        <v>5.3999999999999999E-2</v>
      </c>
      <c r="K89" s="1">
        <v>7</v>
      </c>
      <c r="S89" s="1">
        <v>7</v>
      </c>
      <c r="T89" s="1"/>
      <c r="AU89" s="1">
        <v>26</v>
      </c>
      <c r="AV89" s="1" t="s">
        <v>268</v>
      </c>
      <c r="AW89" s="1" t="s">
        <v>147</v>
      </c>
      <c r="AX89" s="1" t="s">
        <v>245</v>
      </c>
      <c r="AY89" s="1" t="s">
        <v>141</v>
      </c>
      <c r="AZ89" s="1" t="s">
        <v>940</v>
      </c>
      <c r="BA89" s="1" t="s">
        <v>269</v>
      </c>
      <c r="BB89" s="1" t="s">
        <v>148</v>
      </c>
      <c r="BC89" s="1" t="s">
        <v>59</v>
      </c>
      <c r="BD89" s="1" t="s">
        <v>270</v>
      </c>
    </row>
    <row r="90" spans="1:56" ht="15.75" customHeight="1">
      <c r="A90" s="1">
        <f t="shared" si="0"/>
        <v>20018</v>
      </c>
      <c r="B90" s="1">
        <v>2</v>
      </c>
      <c r="C90" s="1">
        <v>2</v>
      </c>
      <c r="D90" s="1">
        <v>2</v>
      </c>
      <c r="E90" s="1">
        <f t="shared" si="1"/>
        <v>3</v>
      </c>
      <c r="I90" s="1">
        <v>5.8999999999999997E-2</v>
      </c>
      <c r="K90" s="1">
        <v>7</v>
      </c>
      <c r="S90" s="1">
        <v>14</v>
      </c>
      <c r="T90" s="1"/>
      <c r="AU90" s="1">
        <v>26</v>
      </c>
      <c r="AV90" s="1" t="s">
        <v>268</v>
      </c>
      <c r="AW90" s="1" t="s">
        <v>149</v>
      </c>
      <c r="AX90" s="1" t="s">
        <v>245</v>
      </c>
      <c r="AY90" s="1" t="s">
        <v>141</v>
      </c>
      <c r="AZ90" s="1" t="s">
        <v>937</v>
      </c>
      <c r="BA90" s="1" t="s">
        <v>269</v>
      </c>
      <c r="BB90" s="1" t="s">
        <v>148</v>
      </c>
      <c r="BC90" s="1" t="s">
        <v>59</v>
      </c>
      <c r="BD90" s="1" t="s">
        <v>270</v>
      </c>
    </row>
    <row r="91" spans="1:56" ht="15.75" customHeight="1">
      <c r="A91" s="1">
        <f t="shared" si="0"/>
        <v>20018</v>
      </c>
      <c r="B91" s="1">
        <v>2</v>
      </c>
      <c r="C91" s="1">
        <v>2</v>
      </c>
      <c r="D91" s="1">
        <v>2</v>
      </c>
      <c r="E91" s="1">
        <f t="shared" si="1"/>
        <v>4</v>
      </c>
      <c r="I91" s="1">
        <v>6.4000000000000001E-2</v>
      </c>
      <c r="K91" s="1">
        <v>13</v>
      </c>
      <c r="S91" s="1">
        <v>14</v>
      </c>
      <c r="T91" s="1"/>
      <c r="AU91" s="1">
        <v>30</v>
      </c>
      <c r="AV91" s="1" t="s">
        <v>268</v>
      </c>
      <c r="AW91" s="1" t="s">
        <v>150</v>
      </c>
      <c r="AX91" s="1" t="s">
        <v>245</v>
      </c>
      <c r="AY91" s="1" t="s">
        <v>151</v>
      </c>
      <c r="AZ91" s="1" t="s">
        <v>937</v>
      </c>
      <c r="BA91" s="1" t="s">
        <v>269</v>
      </c>
      <c r="BB91" s="1" t="s">
        <v>152</v>
      </c>
      <c r="BC91" s="1" t="s">
        <v>59</v>
      </c>
      <c r="BD91" s="1" t="s">
        <v>270</v>
      </c>
    </row>
    <row r="92" spans="1:56" ht="15.75" customHeight="1">
      <c r="A92" s="1">
        <f t="shared" si="0"/>
        <v>20019</v>
      </c>
      <c r="B92" s="1">
        <v>0</v>
      </c>
      <c r="C92" s="1">
        <v>1</v>
      </c>
      <c r="D92" s="1">
        <v>2</v>
      </c>
      <c r="E92" s="1">
        <f t="shared" si="1"/>
        <v>0</v>
      </c>
      <c r="H92" s="1">
        <v>15</v>
      </c>
      <c r="I92" s="1">
        <v>4.3999999999999997E-2</v>
      </c>
      <c r="J92" s="1">
        <v>2</v>
      </c>
      <c r="S92" s="1">
        <v>7</v>
      </c>
      <c r="T92" s="1"/>
      <c r="AU92" s="1">
        <v>22</v>
      </c>
      <c r="AV92" s="1" t="s">
        <v>271</v>
      </c>
      <c r="AW92" s="1" t="s">
        <v>154</v>
      </c>
      <c r="AX92" s="1" t="s">
        <v>178</v>
      </c>
      <c r="AY92" s="1" t="s">
        <v>170</v>
      </c>
      <c r="AZ92" s="1" t="s">
        <v>939</v>
      </c>
      <c r="BA92" s="1" t="s">
        <v>272</v>
      </c>
      <c r="BB92" s="1" t="s">
        <v>158</v>
      </c>
      <c r="BC92" s="1" t="s">
        <v>59</v>
      </c>
      <c r="BD92" s="1" t="s">
        <v>273</v>
      </c>
    </row>
    <row r="93" spans="1:56" ht="15.75" customHeight="1">
      <c r="A93" s="1">
        <f t="shared" si="0"/>
        <v>20019</v>
      </c>
      <c r="B93" s="1">
        <v>0</v>
      </c>
      <c r="C93" s="1">
        <v>1</v>
      </c>
      <c r="D93" s="1">
        <v>2</v>
      </c>
      <c r="E93" s="1">
        <f t="shared" si="1"/>
        <v>1</v>
      </c>
      <c r="H93" s="1">
        <v>30</v>
      </c>
      <c r="I93" s="1">
        <v>4.9000000000000002E-2</v>
      </c>
      <c r="J93" s="1">
        <v>2</v>
      </c>
      <c r="S93" s="1">
        <v>7</v>
      </c>
      <c r="T93" s="1"/>
      <c r="AU93" s="1">
        <v>22</v>
      </c>
      <c r="AV93" s="1" t="s">
        <v>271</v>
      </c>
      <c r="AW93" s="1" t="s">
        <v>160</v>
      </c>
      <c r="AX93" s="1" t="s">
        <v>182</v>
      </c>
      <c r="AY93" s="1" t="s">
        <v>170</v>
      </c>
      <c r="AZ93" s="1" t="s">
        <v>939</v>
      </c>
      <c r="BA93" s="1" t="s">
        <v>272</v>
      </c>
      <c r="BB93" s="1" t="s">
        <v>158</v>
      </c>
      <c r="BC93" s="1" t="s">
        <v>59</v>
      </c>
      <c r="BD93" s="1" t="s">
        <v>273</v>
      </c>
    </row>
    <row r="94" spans="1:56" ht="15.75" customHeight="1">
      <c r="A94" s="1">
        <f t="shared" si="0"/>
        <v>20019</v>
      </c>
      <c r="B94" s="1">
        <v>0</v>
      </c>
      <c r="C94" s="1">
        <v>1</v>
      </c>
      <c r="D94" s="1">
        <v>2</v>
      </c>
      <c r="E94" s="1">
        <f t="shared" si="1"/>
        <v>2</v>
      </c>
      <c r="H94" s="1">
        <v>30</v>
      </c>
      <c r="I94" s="1">
        <v>5.3999999999999999E-2</v>
      </c>
      <c r="J94" s="1">
        <v>2</v>
      </c>
      <c r="S94" s="1">
        <v>7</v>
      </c>
      <c r="T94" s="1"/>
      <c r="AU94" s="1">
        <v>26</v>
      </c>
      <c r="AV94" s="1" t="s">
        <v>271</v>
      </c>
      <c r="AW94" s="1" t="s">
        <v>162</v>
      </c>
      <c r="AX94" s="1" t="s">
        <v>182</v>
      </c>
      <c r="AY94" s="1" t="s">
        <v>170</v>
      </c>
      <c r="AZ94" s="1" t="s">
        <v>939</v>
      </c>
      <c r="BA94" s="1" t="s">
        <v>272</v>
      </c>
      <c r="BB94" s="1" t="s">
        <v>163</v>
      </c>
      <c r="BC94" s="1" t="s">
        <v>59</v>
      </c>
      <c r="BD94" s="1" t="s">
        <v>273</v>
      </c>
    </row>
    <row r="95" spans="1:56" ht="15.75" customHeight="1">
      <c r="A95" s="1">
        <f t="shared" si="0"/>
        <v>20019</v>
      </c>
      <c r="B95" s="1">
        <v>0</v>
      </c>
      <c r="C95" s="1">
        <v>1</v>
      </c>
      <c r="D95" s="1">
        <v>2</v>
      </c>
      <c r="E95" s="1">
        <f t="shared" si="1"/>
        <v>3</v>
      </c>
      <c r="H95" s="1">
        <v>30</v>
      </c>
      <c r="I95" s="1">
        <v>5.8999999999999997E-2</v>
      </c>
      <c r="J95" s="1">
        <v>2</v>
      </c>
      <c r="S95" s="1">
        <v>14</v>
      </c>
      <c r="T95" s="1"/>
      <c r="AU95" s="1">
        <v>26</v>
      </c>
      <c r="AV95" s="1" t="s">
        <v>271</v>
      </c>
      <c r="AW95" s="1" t="s">
        <v>164</v>
      </c>
      <c r="AX95" s="1" t="s">
        <v>182</v>
      </c>
      <c r="AY95" s="1" t="s">
        <v>170</v>
      </c>
      <c r="AZ95" s="1" t="s">
        <v>936</v>
      </c>
      <c r="BA95" s="1" t="s">
        <v>272</v>
      </c>
      <c r="BB95" s="1" t="s">
        <v>163</v>
      </c>
      <c r="BC95" s="1" t="s">
        <v>59</v>
      </c>
      <c r="BD95" s="1" t="s">
        <v>273</v>
      </c>
    </row>
    <row r="96" spans="1:56" ht="15.75" customHeight="1">
      <c r="A96" s="1">
        <f t="shared" si="0"/>
        <v>20019</v>
      </c>
      <c r="B96" s="1">
        <v>0</v>
      </c>
      <c r="C96" s="1">
        <v>1</v>
      </c>
      <c r="D96" s="1">
        <v>2</v>
      </c>
      <c r="E96" s="1">
        <f t="shared" si="1"/>
        <v>4</v>
      </c>
      <c r="H96" s="1">
        <v>30</v>
      </c>
      <c r="I96" s="1">
        <v>6.4000000000000001E-2</v>
      </c>
      <c r="J96" s="1">
        <v>4</v>
      </c>
      <c r="S96" s="1">
        <v>14</v>
      </c>
      <c r="T96" s="1"/>
      <c r="AU96" s="1">
        <v>30</v>
      </c>
      <c r="AV96" s="1" t="s">
        <v>271</v>
      </c>
      <c r="AW96" s="1" t="s">
        <v>165</v>
      </c>
      <c r="AX96" s="1" t="s">
        <v>182</v>
      </c>
      <c r="AY96" s="1" t="s">
        <v>176</v>
      </c>
      <c r="AZ96" s="1" t="s">
        <v>936</v>
      </c>
      <c r="BA96" s="1" t="s">
        <v>272</v>
      </c>
      <c r="BB96" s="1" t="s">
        <v>167</v>
      </c>
      <c r="BC96" s="1" t="s">
        <v>59</v>
      </c>
      <c r="BD96" s="1" t="s">
        <v>273</v>
      </c>
    </row>
    <row r="97" spans="1:56" ht="15.75" customHeight="1">
      <c r="A97" s="1">
        <f t="shared" si="0"/>
        <v>20020</v>
      </c>
      <c r="B97" s="1">
        <v>1</v>
      </c>
      <c r="C97" s="1">
        <v>1</v>
      </c>
      <c r="D97" s="1">
        <v>2</v>
      </c>
      <c r="E97" s="1">
        <f t="shared" si="1"/>
        <v>0</v>
      </c>
      <c r="G97" s="1">
        <v>37</v>
      </c>
      <c r="J97" s="1">
        <v>2</v>
      </c>
      <c r="AQ97" s="1">
        <v>4</v>
      </c>
      <c r="AU97" s="1">
        <v>22</v>
      </c>
      <c r="AV97" s="1" t="s">
        <v>274</v>
      </c>
      <c r="AW97" s="1" t="s">
        <v>928</v>
      </c>
      <c r="AX97" s="1" t="s">
        <v>229</v>
      </c>
      <c r="AY97" s="1" t="s">
        <v>202</v>
      </c>
      <c r="AZ97" s="1" t="s">
        <v>275</v>
      </c>
      <c r="BA97" s="1" t="s">
        <v>276</v>
      </c>
      <c r="BB97" s="1" t="s">
        <v>205</v>
      </c>
      <c r="BC97" s="1" t="s">
        <v>59</v>
      </c>
      <c r="BD97" s="1" t="s">
        <v>277</v>
      </c>
    </row>
    <row r="98" spans="1:56" ht="15.75" customHeight="1">
      <c r="A98" s="1">
        <f t="shared" si="0"/>
        <v>20020</v>
      </c>
      <c r="B98" s="1">
        <v>1</v>
      </c>
      <c r="C98" s="1">
        <v>1</v>
      </c>
      <c r="D98" s="1">
        <v>2</v>
      </c>
      <c r="E98" s="1">
        <f t="shared" si="1"/>
        <v>1</v>
      </c>
      <c r="G98" s="1">
        <v>40</v>
      </c>
      <c r="J98" s="1">
        <v>2</v>
      </c>
      <c r="AQ98" s="1">
        <v>4</v>
      </c>
      <c r="AU98" s="1">
        <v>22</v>
      </c>
      <c r="AV98" s="1" t="s">
        <v>274</v>
      </c>
      <c r="AW98" s="1" t="s">
        <v>926</v>
      </c>
      <c r="AX98" s="1" t="s">
        <v>232</v>
      </c>
      <c r="AY98" s="1" t="s">
        <v>202</v>
      </c>
      <c r="AZ98" s="1" t="s">
        <v>275</v>
      </c>
      <c r="BA98" s="1" t="s">
        <v>276</v>
      </c>
      <c r="BB98" s="1" t="s">
        <v>205</v>
      </c>
      <c r="BC98" s="1" t="s">
        <v>59</v>
      </c>
      <c r="BD98" s="1" t="s">
        <v>277</v>
      </c>
    </row>
    <row r="99" spans="1:56" ht="15.75" customHeight="1">
      <c r="A99" s="1">
        <f t="shared" si="0"/>
        <v>20020</v>
      </c>
      <c r="B99" s="1">
        <v>1</v>
      </c>
      <c r="C99" s="1">
        <v>1</v>
      </c>
      <c r="D99" s="1">
        <v>2</v>
      </c>
      <c r="E99" s="1">
        <f t="shared" si="1"/>
        <v>2</v>
      </c>
      <c r="G99" s="1">
        <v>43</v>
      </c>
      <c r="J99" s="1">
        <v>2</v>
      </c>
      <c r="AQ99" s="1">
        <v>4</v>
      </c>
      <c r="AU99" s="1">
        <v>26</v>
      </c>
      <c r="AV99" s="1" t="s">
        <v>274</v>
      </c>
      <c r="AW99" s="1" t="s">
        <v>930</v>
      </c>
      <c r="AX99" s="1" t="s">
        <v>232</v>
      </c>
      <c r="AY99" s="1" t="s">
        <v>202</v>
      </c>
      <c r="AZ99" s="1" t="s">
        <v>275</v>
      </c>
      <c r="BA99" s="1" t="s">
        <v>276</v>
      </c>
      <c r="BB99" s="1" t="s">
        <v>209</v>
      </c>
      <c r="BC99" s="1" t="s">
        <v>59</v>
      </c>
      <c r="BD99" s="1" t="s">
        <v>277</v>
      </c>
    </row>
    <row r="100" spans="1:56" ht="15.75" customHeight="1">
      <c r="A100" s="1">
        <f t="shared" si="0"/>
        <v>20020</v>
      </c>
      <c r="B100" s="1">
        <v>1</v>
      </c>
      <c r="C100" s="1">
        <v>1</v>
      </c>
      <c r="D100" s="1">
        <v>2</v>
      </c>
      <c r="E100" s="1">
        <f t="shared" si="1"/>
        <v>3</v>
      </c>
      <c r="G100" s="1">
        <v>46</v>
      </c>
      <c r="J100" s="1">
        <v>2</v>
      </c>
      <c r="AQ100" s="1">
        <v>8</v>
      </c>
      <c r="AU100" s="1">
        <v>26</v>
      </c>
      <c r="AV100" s="1" t="s">
        <v>274</v>
      </c>
      <c r="AW100" s="1" t="s">
        <v>932</v>
      </c>
      <c r="AX100" s="1" t="s">
        <v>232</v>
      </c>
      <c r="AY100" s="1" t="s">
        <v>202</v>
      </c>
      <c r="AZ100" s="1" t="s">
        <v>278</v>
      </c>
      <c r="BA100" s="1" t="s">
        <v>276</v>
      </c>
      <c r="BB100" s="1" t="s">
        <v>209</v>
      </c>
      <c r="BC100" s="1" t="s">
        <v>59</v>
      </c>
      <c r="BD100" s="1" t="s">
        <v>277</v>
      </c>
    </row>
    <row r="101" spans="1:56" ht="15.75" customHeight="1">
      <c r="A101" s="1">
        <f t="shared" si="0"/>
        <v>20020</v>
      </c>
      <c r="B101" s="1">
        <v>1</v>
      </c>
      <c r="C101" s="1">
        <v>1</v>
      </c>
      <c r="D101" s="1">
        <v>2</v>
      </c>
      <c r="E101" s="1">
        <f t="shared" si="1"/>
        <v>4</v>
      </c>
      <c r="G101" s="1">
        <v>49</v>
      </c>
      <c r="J101" s="1">
        <v>4</v>
      </c>
      <c r="AQ101" s="1">
        <v>8</v>
      </c>
      <c r="AU101" s="1">
        <v>30</v>
      </c>
      <c r="AV101" s="1" t="s">
        <v>274</v>
      </c>
      <c r="AW101" s="1" t="s">
        <v>934</v>
      </c>
      <c r="AX101" s="1" t="s">
        <v>232</v>
      </c>
      <c r="AY101" s="1" t="s">
        <v>213</v>
      </c>
      <c r="AZ101" s="1" t="s">
        <v>278</v>
      </c>
      <c r="BA101" s="1" t="s">
        <v>276</v>
      </c>
      <c r="BB101" s="1" t="s">
        <v>214</v>
      </c>
      <c r="BC101" s="1" t="s">
        <v>59</v>
      </c>
      <c r="BD101" s="1" t="s">
        <v>277</v>
      </c>
    </row>
    <row r="102" spans="1:56" ht="15.75" customHeight="1">
      <c r="A102" s="1">
        <f t="shared" si="0"/>
        <v>20021</v>
      </c>
      <c r="B102" s="1">
        <v>2</v>
      </c>
      <c r="C102" s="1">
        <v>2</v>
      </c>
      <c r="D102" s="1">
        <v>2</v>
      </c>
      <c r="E102" s="1">
        <f t="shared" si="1"/>
        <v>0</v>
      </c>
      <c r="G102" s="1">
        <v>37</v>
      </c>
      <c r="K102" s="1">
        <v>7</v>
      </c>
      <c r="O102" s="1">
        <v>6</v>
      </c>
      <c r="P102" s="1"/>
      <c r="Q102" s="1">
        <v>5</v>
      </c>
      <c r="R102" s="1"/>
      <c r="AU102" s="1">
        <v>22</v>
      </c>
      <c r="AV102" s="1" t="s">
        <v>279</v>
      </c>
      <c r="AW102" s="1" t="s">
        <v>916</v>
      </c>
      <c r="AX102" s="1" t="s">
        <v>280</v>
      </c>
      <c r="AY102" s="1" t="s">
        <v>141</v>
      </c>
      <c r="AZ102" s="1" t="s">
        <v>188</v>
      </c>
      <c r="BA102" s="1" t="s">
        <v>281</v>
      </c>
      <c r="BB102" s="1" t="s">
        <v>143</v>
      </c>
      <c r="BC102" s="1" t="s">
        <v>59</v>
      </c>
      <c r="BD102" s="1" t="s">
        <v>282</v>
      </c>
    </row>
    <row r="103" spans="1:56" ht="15.75" customHeight="1">
      <c r="A103" s="1">
        <f t="shared" si="0"/>
        <v>20021</v>
      </c>
      <c r="B103" s="1">
        <v>2</v>
      </c>
      <c r="C103" s="1">
        <v>2</v>
      </c>
      <c r="D103" s="1">
        <v>2</v>
      </c>
      <c r="E103" s="1">
        <f t="shared" si="1"/>
        <v>1</v>
      </c>
      <c r="G103" s="1">
        <v>40</v>
      </c>
      <c r="K103" s="1">
        <v>7</v>
      </c>
      <c r="O103" s="1">
        <v>6</v>
      </c>
      <c r="P103" s="1"/>
      <c r="Q103" s="1">
        <v>10</v>
      </c>
      <c r="R103" s="1"/>
      <c r="AU103" s="1">
        <v>22</v>
      </c>
      <c r="AV103" s="1" t="s">
        <v>279</v>
      </c>
      <c r="AW103" s="1" t="s">
        <v>917</v>
      </c>
      <c r="AX103" s="1" t="s">
        <v>283</v>
      </c>
      <c r="AY103" s="1" t="s">
        <v>141</v>
      </c>
      <c r="AZ103" s="1" t="s">
        <v>188</v>
      </c>
      <c r="BA103" s="1" t="s">
        <v>281</v>
      </c>
      <c r="BB103" s="1" t="s">
        <v>143</v>
      </c>
      <c r="BC103" s="1" t="s">
        <v>59</v>
      </c>
      <c r="BD103" s="1" t="s">
        <v>282</v>
      </c>
    </row>
    <row r="104" spans="1:56" ht="15.75" customHeight="1">
      <c r="A104" s="1">
        <f t="shared" si="0"/>
        <v>20021</v>
      </c>
      <c r="B104" s="1">
        <v>2</v>
      </c>
      <c r="C104" s="1">
        <v>2</v>
      </c>
      <c r="D104" s="1">
        <v>2</v>
      </c>
      <c r="E104" s="1">
        <f t="shared" si="1"/>
        <v>2</v>
      </c>
      <c r="G104" s="1">
        <v>43</v>
      </c>
      <c r="K104" s="1">
        <v>7</v>
      </c>
      <c r="O104" s="1">
        <v>6</v>
      </c>
      <c r="P104" s="1"/>
      <c r="Q104" s="1">
        <v>10</v>
      </c>
      <c r="R104" s="1"/>
      <c r="AU104" s="1">
        <v>26</v>
      </c>
      <c r="AV104" s="1" t="s">
        <v>279</v>
      </c>
      <c r="AW104" s="1" t="s">
        <v>918</v>
      </c>
      <c r="AX104" s="1" t="s">
        <v>283</v>
      </c>
      <c r="AY104" s="1" t="s">
        <v>141</v>
      </c>
      <c r="AZ104" s="1" t="s">
        <v>188</v>
      </c>
      <c r="BA104" s="1" t="s">
        <v>281</v>
      </c>
      <c r="BB104" s="1" t="s">
        <v>148</v>
      </c>
      <c r="BC104" s="1" t="s">
        <v>59</v>
      </c>
      <c r="BD104" s="1" t="s">
        <v>282</v>
      </c>
    </row>
    <row r="105" spans="1:56" ht="15.75" customHeight="1">
      <c r="A105" s="1">
        <f t="shared" si="0"/>
        <v>20021</v>
      </c>
      <c r="B105" s="1">
        <v>2</v>
      </c>
      <c r="C105" s="1">
        <v>2</v>
      </c>
      <c r="D105" s="1">
        <v>2</v>
      </c>
      <c r="E105" s="1">
        <f t="shared" si="1"/>
        <v>3</v>
      </c>
      <c r="G105" s="1">
        <v>46</v>
      </c>
      <c r="K105" s="1">
        <v>7</v>
      </c>
      <c r="O105" s="1">
        <v>11</v>
      </c>
      <c r="P105" s="1"/>
      <c r="Q105" s="1">
        <v>10</v>
      </c>
      <c r="R105" s="1"/>
      <c r="AU105" s="1">
        <v>26</v>
      </c>
      <c r="AV105" s="1" t="s">
        <v>279</v>
      </c>
      <c r="AW105" s="1" t="s">
        <v>919</v>
      </c>
      <c r="AX105" s="1" t="s">
        <v>283</v>
      </c>
      <c r="AY105" s="1" t="s">
        <v>141</v>
      </c>
      <c r="AZ105" s="1" t="s">
        <v>192</v>
      </c>
      <c r="BA105" s="1" t="s">
        <v>281</v>
      </c>
      <c r="BB105" s="1" t="s">
        <v>148</v>
      </c>
      <c r="BC105" s="1" t="s">
        <v>59</v>
      </c>
      <c r="BD105" s="1" t="s">
        <v>282</v>
      </c>
    </row>
    <row r="106" spans="1:56" ht="15.75" customHeight="1">
      <c r="A106" s="1">
        <f t="shared" si="0"/>
        <v>20021</v>
      </c>
      <c r="B106" s="1">
        <v>2</v>
      </c>
      <c r="C106" s="1">
        <v>2</v>
      </c>
      <c r="D106" s="1">
        <v>2</v>
      </c>
      <c r="E106" s="1">
        <f t="shared" si="1"/>
        <v>4</v>
      </c>
      <c r="G106" s="1">
        <v>49</v>
      </c>
      <c r="K106" s="1">
        <v>13</v>
      </c>
      <c r="O106" s="1">
        <v>11</v>
      </c>
      <c r="P106" s="1"/>
      <c r="Q106" s="1">
        <v>10</v>
      </c>
      <c r="R106" s="1"/>
      <c r="AU106" s="1">
        <v>30</v>
      </c>
      <c r="AV106" s="1" t="s">
        <v>279</v>
      </c>
      <c r="AW106" s="1" t="s">
        <v>920</v>
      </c>
      <c r="AX106" s="1" t="s">
        <v>283</v>
      </c>
      <c r="AY106" s="1" t="s">
        <v>151</v>
      </c>
      <c r="AZ106" s="1" t="s">
        <v>192</v>
      </c>
      <c r="BA106" s="1" t="s">
        <v>281</v>
      </c>
      <c r="BB106" s="1" t="s">
        <v>152</v>
      </c>
      <c r="BC106" s="1" t="s">
        <v>59</v>
      </c>
      <c r="BD106" s="1" t="s">
        <v>282</v>
      </c>
    </row>
    <row r="107" spans="1:56" ht="15.75" customHeight="1">
      <c r="A107" s="1">
        <f t="shared" si="0"/>
        <v>20022</v>
      </c>
      <c r="B107" s="1">
        <v>0</v>
      </c>
      <c r="C107" s="1">
        <v>2</v>
      </c>
      <c r="D107" s="1">
        <v>2</v>
      </c>
      <c r="E107" s="1">
        <f t="shared" si="1"/>
        <v>0</v>
      </c>
      <c r="G107" s="1">
        <v>37</v>
      </c>
      <c r="H107" s="1">
        <v>15</v>
      </c>
      <c r="J107" s="1">
        <v>2</v>
      </c>
      <c r="AQ107" s="1">
        <v>4</v>
      </c>
      <c r="AU107" s="1">
        <v>22</v>
      </c>
      <c r="AV107" s="1" t="s">
        <v>284</v>
      </c>
      <c r="AW107" s="1" t="s">
        <v>927</v>
      </c>
      <c r="AX107" s="1" t="s">
        <v>178</v>
      </c>
      <c r="AY107" s="1" t="s">
        <v>170</v>
      </c>
      <c r="AZ107" s="1" t="s">
        <v>285</v>
      </c>
      <c r="BA107" s="1" t="s">
        <v>286</v>
      </c>
      <c r="BB107" s="1" t="s">
        <v>158</v>
      </c>
      <c r="BC107" s="1" t="s">
        <v>59</v>
      </c>
      <c r="BD107" s="1" t="s">
        <v>287</v>
      </c>
    </row>
    <row r="108" spans="1:56" ht="15.75" customHeight="1">
      <c r="A108" s="1">
        <f t="shared" si="0"/>
        <v>20022</v>
      </c>
      <c r="B108" s="1">
        <v>0</v>
      </c>
      <c r="C108" s="1">
        <v>2</v>
      </c>
      <c r="D108" s="1">
        <v>2</v>
      </c>
      <c r="E108" s="1">
        <f t="shared" si="1"/>
        <v>1</v>
      </c>
      <c r="G108" s="1">
        <v>40</v>
      </c>
      <c r="H108" s="1">
        <v>30</v>
      </c>
      <c r="J108" s="1">
        <v>2</v>
      </c>
      <c r="AQ108" s="1">
        <v>4</v>
      </c>
      <c r="AU108" s="1">
        <v>22</v>
      </c>
      <c r="AV108" s="1" t="s">
        <v>284</v>
      </c>
      <c r="AW108" s="1" t="s">
        <v>925</v>
      </c>
      <c r="AX108" s="1" t="s">
        <v>182</v>
      </c>
      <c r="AY108" s="1" t="s">
        <v>170</v>
      </c>
      <c r="AZ108" s="1" t="s">
        <v>285</v>
      </c>
      <c r="BA108" s="1" t="s">
        <v>286</v>
      </c>
      <c r="BB108" s="1" t="s">
        <v>158</v>
      </c>
      <c r="BC108" s="1" t="s">
        <v>59</v>
      </c>
      <c r="BD108" s="1" t="s">
        <v>287</v>
      </c>
    </row>
    <row r="109" spans="1:56" ht="15.75" customHeight="1">
      <c r="A109" s="1">
        <f t="shared" si="0"/>
        <v>20022</v>
      </c>
      <c r="B109" s="1">
        <v>0</v>
      </c>
      <c r="C109" s="1">
        <v>2</v>
      </c>
      <c r="D109" s="1">
        <v>2</v>
      </c>
      <c r="E109" s="1">
        <f t="shared" si="1"/>
        <v>2</v>
      </c>
      <c r="G109" s="1">
        <v>43</v>
      </c>
      <c r="H109" s="1">
        <v>30</v>
      </c>
      <c r="J109" s="1">
        <v>2</v>
      </c>
      <c r="AQ109" s="1">
        <v>4</v>
      </c>
      <c r="AU109" s="1">
        <v>26</v>
      </c>
      <c r="AV109" s="1" t="s">
        <v>284</v>
      </c>
      <c r="AW109" s="1" t="s">
        <v>929</v>
      </c>
      <c r="AX109" s="1" t="s">
        <v>182</v>
      </c>
      <c r="AY109" s="1" t="s">
        <v>170</v>
      </c>
      <c r="AZ109" s="1" t="s">
        <v>285</v>
      </c>
      <c r="BA109" s="1" t="s">
        <v>286</v>
      </c>
      <c r="BB109" s="1" t="s">
        <v>163</v>
      </c>
      <c r="BC109" s="1" t="s">
        <v>59</v>
      </c>
      <c r="BD109" s="1" t="s">
        <v>287</v>
      </c>
    </row>
    <row r="110" spans="1:56" ht="15.75" customHeight="1">
      <c r="A110" s="1">
        <f t="shared" si="0"/>
        <v>20022</v>
      </c>
      <c r="B110" s="1">
        <v>0</v>
      </c>
      <c r="C110" s="1">
        <v>2</v>
      </c>
      <c r="D110" s="1">
        <v>2</v>
      </c>
      <c r="E110" s="1">
        <f t="shared" si="1"/>
        <v>3</v>
      </c>
      <c r="G110" s="1">
        <v>46</v>
      </c>
      <c r="H110" s="1">
        <v>30</v>
      </c>
      <c r="J110" s="1">
        <v>2</v>
      </c>
      <c r="AQ110" s="1">
        <v>8</v>
      </c>
      <c r="AU110" s="1">
        <v>26</v>
      </c>
      <c r="AV110" s="1" t="s">
        <v>284</v>
      </c>
      <c r="AW110" s="1" t="s">
        <v>931</v>
      </c>
      <c r="AX110" s="1" t="s">
        <v>182</v>
      </c>
      <c r="AY110" s="1" t="s">
        <v>170</v>
      </c>
      <c r="AZ110" s="1" t="s">
        <v>288</v>
      </c>
      <c r="BA110" s="1" t="s">
        <v>286</v>
      </c>
      <c r="BB110" s="1" t="s">
        <v>163</v>
      </c>
      <c r="BC110" s="1" t="s">
        <v>59</v>
      </c>
      <c r="BD110" s="1" t="s">
        <v>287</v>
      </c>
    </row>
    <row r="111" spans="1:56" ht="15.75" customHeight="1">
      <c r="A111" s="1">
        <f t="shared" si="0"/>
        <v>20022</v>
      </c>
      <c r="B111" s="1">
        <v>0</v>
      </c>
      <c r="C111" s="1">
        <v>2</v>
      </c>
      <c r="D111" s="1">
        <v>2</v>
      </c>
      <c r="E111" s="1">
        <f t="shared" si="1"/>
        <v>4</v>
      </c>
      <c r="G111" s="1">
        <v>49</v>
      </c>
      <c r="H111" s="1">
        <v>30</v>
      </c>
      <c r="J111" s="1">
        <v>4</v>
      </c>
      <c r="AQ111" s="1">
        <v>8</v>
      </c>
      <c r="AU111" s="1">
        <v>30</v>
      </c>
      <c r="AV111" s="1" t="s">
        <v>284</v>
      </c>
      <c r="AW111" s="1" t="s">
        <v>933</v>
      </c>
      <c r="AX111" s="1" t="s">
        <v>182</v>
      </c>
      <c r="AY111" s="1" t="s">
        <v>176</v>
      </c>
      <c r="AZ111" s="1" t="s">
        <v>288</v>
      </c>
      <c r="BA111" s="1" t="s">
        <v>286</v>
      </c>
      <c r="BB111" s="1" t="s">
        <v>167</v>
      </c>
      <c r="BC111" s="1" t="s">
        <v>59</v>
      </c>
      <c r="BD111" s="1" t="s">
        <v>287</v>
      </c>
    </row>
    <row r="112" spans="1:56" ht="15.75" customHeight="1">
      <c r="A112" s="1">
        <f t="shared" si="0"/>
        <v>20023</v>
      </c>
      <c r="B112" s="1">
        <v>2</v>
      </c>
      <c r="C112" s="1">
        <v>2</v>
      </c>
      <c r="D112" s="1">
        <v>2</v>
      </c>
      <c r="E112" s="1">
        <f t="shared" si="1"/>
        <v>0</v>
      </c>
      <c r="F112" s="1">
        <v>10.5</v>
      </c>
      <c r="G112" s="1">
        <v>37</v>
      </c>
      <c r="K112" s="1">
        <v>7</v>
      </c>
      <c r="O112" s="1">
        <v>6</v>
      </c>
      <c r="P112" s="1"/>
      <c r="AU112" s="1">
        <v>22</v>
      </c>
      <c r="AV112" s="1" t="s">
        <v>289</v>
      </c>
      <c r="AW112" s="1" t="s">
        <v>916</v>
      </c>
      <c r="AX112" s="1" t="s">
        <v>140</v>
      </c>
      <c r="AY112" s="1" t="s">
        <v>141</v>
      </c>
      <c r="AZ112" s="1" t="s">
        <v>188</v>
      </c>
      <c r="BA112" s="1" t="s">
        <v>290</v>
      </c>
      <c r="BB112" s="1" t="s">
        <v>143</v>
      </c>
      <c r="BC112" s="1" t="s">
        <v>59</v>
      </c>
      <c r="BD112" s="1" t="s">
        <v>291</v>
      </c>
    </row>
    <row r="113" spans="1:56" ht="15.75" customHeight="1">
      <c r="A113" s="1">
        <f t="shared" si="0"/>
        <v>20023</v>
      </c>
      <c r="B113" s="1">
        <v>2</v>
      </c>
      <c r="C113" s="1">
        <v>2</v>
      </c>
      <c r="D113" s="1">
        <v>2</v>
      </c>
      <c r="E113" s="1">
        <f t="shared" si="1"/>
        <v>1</v>
      </c>
      <c r="F113" s="1">
        <v>21</v>
      </c>
      <c r="G113" s="1">
        <v>40</v>
      </c>
      <c r="K113" s="1">
        <v>7</v>
      </c>
      <c r="O113" s="1">
        <v>6</v>
      </c>
      <c r="P113" s="1"/>
      <c r="AU113" s="1">
        <v>22</v>
      </c>
      <c r="AV113" s="1" t="s">
        <v>289</v>
      </c>
      <c r="AW113" s="1" t="s">
        <v>917</v>
      </c>
      <c r="AX113" s="1" t="s">
        <v>146</v>
      </c>
      <c r="AY113" s="1" t="s">
        <v>141</v>
      </c>
      <c r="AZ113" s="1" t="s">
        <v>188</v>
      </c>
      <c r="BA113" s="1" t="s">
        <v>290</v>
      </c>
      <c r="BB113" s="1" t="s">
        <v>143</v>
      </c>
      <c r="BC113" s="1" t="s">
        <v>59</v>
      </c>
      <c r="BD113" s="1" t="s">
        <v>291</v>
      </c>
    </row>
    <row r="114" spans="1:56" ht="15.75" customHeight="1">
      <c r="A114" s="1">
        <f t="shared" si="0"/>
        <v>20023</v>
      </c>
      <c r="B114" s="1">
        <v>2</v>
      </c>
      <c r="C114" s="1">
        <v>2</v>
      </c>
      <c r="D114" s="1">
        <v>2</v>
      </c>
      <c r="E114" s="1">
        <f t="shared" si="1"/>
        <v>2</v>
      </c>
      <c r="F114" s="1">
        <v>21</v>
      </c>
      <c r="G114" s="1">
        <v>43</v>
      </c>
      <c r="K114" s="1">
        <v>7</v>
      </c>
      <c r="O114" s="1">
        <v>6</v>
      </c>
      <c r="P114" s="1"/>
      <c r="AU114" s="1">
        <v>26</v>
      </c>
      <c r="AV114" s="1" t="s">
        <v>289</v>
      </c>
      <c r="AW114" s="1" t="s">
        <v>918</v>
      </c>
      <c r="AX114" s="1" t="s">
        <v>146</v>
      </c>
      <c r="AY114" s="1" t="s">
        <v>141</v>
      </c>
      <c r="AZ114" s="1" t="s">
        <v>188</v>
      </c>
      <c r="BA114" s="1" t="s">
        <v>290</v>
      </c>
      <c r="BB114" s="1" t="s">
        <v>148</v>
      </c>
      <c r="BC114" s="1" t="s">
        <v>59</v>
      </c>
      <c r="BD114" s="1" t="s">
        <v>291</v>
      </c>
    </row>
    <row r="115" spans="1:56" ht="15.75" customHeight="1">
      <c r="A115" s="1">
        <f t="shared" si="0"/>
        <v>20023</v>
      </c>
      <c r="B115" s="1">
        <v>2</v>
      </c>
      <c r="C115" s="1">
        <v>2</v>
      </c>
      <c r="D115" s="1">
        <v>2</v>
      </c>
      <c r="E115" s="1">
        <f t="shared" si="1"/>
        <v>3</v>
      </c>
      <c r="F115" s="1">
        <v>21</v>
      </c>
      <c r="G115" s="1">
        <v>46</v>
      </c>
      <c r="K115" s="1">
        <v>7</v>
      </c>
      <c r="O115" s="1">
        <v>11</v>
      </c>
      <c r="P115" s="1"/>
      <c r="AU115" s="1">
        <v>26</v>
      </c>
      <c r="AV115" s="1" t="s">
        <v>289</v>
      </c>
      <c r="AW115" s="1" t="s">
        <v>919</v>
      </c>
      <c r="AX115" s="1" t="s">
        <v>146</v>
      </c>
      <c r="AY115" s="1" t="s">
        <v>141</v>
      </c>
      <c r="AZ115" s="1" t="s">
        <v>192</v>
      </c>
      <c r="BA115" s="1" t="s">
        <v>290</v>
      </c>
      <c r="BB115" s="1" t="s">
        <v>148</v>
      </c>
      <c r="BC115" s="1" t="s">
        <v>59</v>
      </c>
      <c r="BD115" s="1" t="s">
        <v>291</v>
      </c>
    </row>
    <row r="116" spans="1:56" ht="15.75" customHeight="1">
      <c r="A116" s="1">
        <f t="shared" si="0"/>
        <v>20023</v>
      </c>
      <c r="B116" s="1">
        <v>2</v>
      </c>
      <c r="C116" s="1">
        <v>2</v>
      </c>
      <c r="D116" s="1">
        <v>2</v>
      </c>
      <c r="E116" s="1">
        <f t="shared" si="1"/>
        <v>4</v>
      </c>
      <c r="F116" s="1">
        <v>21</v>
      </c>
      <c r="G116" s="1">
        <v>49</v>
      </c>
      <c r="K116" s="1">
        <v>13</v>
      </c>
      <c r="O116" s="1">
        <v>11</v>
      </c>
      <c r="P116" s="1"/>
      <c r="AU116" s="1">
        <v>30</v>
      </c>
      <c r="AV116" s="1" t="s">
        <v>289</v>
      </c>
      <c r="AW116" s="1" t="s">
        <v>920</v>
      </c>
      <c r="AX116" s="1" t="s">
        <v>146</v>
      </c>
      <c r="AY116" s="1" t="s">
        <v>151</v>
      </c>
      <c r="AZ116" s="1" t="s">
        <v>192</v>
      </c>
      <c r="BA116" s="1" t="s">
        <v>290</v>
      </c>
      <c r="BB116" s="1" t="s">
        <v>152</v>
      </c>
      <c r="BC116" s="1" t="s">
        <v>59</v>
      </c>
      <c r="BD116" s="1" t="s">
        <v>291</v>
      </c>
    </row>
    <row r="117" spans="1:56" ht="15.75" customHeight="1">
      <c r="A117" s="1">
        <f t="shared" si="0"/>
        <v>20024</v>
      </c>
      <c r="B117" s="1">
        <v>1</v>
      </c>
      <c r="C117" s="1">
        <v>1</v>
      </c>
      <c r="D117" s="1">
        <v>2</v>
      </c>
      <c r="E117" s="1">
        <f t="shared" si="1"/>
        <v>0</v>
      </c>
      <c r="I117" s="1">
        <v>4.3999999999999997E-2</v>
      </c>
      <c r="K117" s="1">
        <v>7</v>
      </c>
      <c r="W117" s="1">
        <v>2</v>
      </c>
      <c r="AT117" s="1">
        <v>9</v>
      </c>
      <c r="AU117" s="1">
        <v>22</v>
      </c>
      <c r="AV117" s="1" t="s">
        <v>292</v>
      </c>
      <c r="AW117" s="1" t="s">
        <v>201</v>
      </c>
      <c r="AX117" s="1" t="s">
        <v>293</v>
      </c>
      <c r="AY117" s="1" t="s">
        <v>217</v>
      </c>
      <c r="AZ117" s="1" t="s">
        <v>1097</v>
      </c>
      <c r="BA117" s="1" t="s">
        <v>294</v>
      </c>
      <c r="BB117" s="1" t="s">
        <v>205</v>
      </c>
      <c r="BC117" s="1" t="s">
        <v>59</v>
      </c>
      <c r="BD117" s="1" t="s">
        <v>295</v>
      </c>
    </row>
    <row r="118" spans="1:56" ht="15.75" customHeight="1">
      <c r="A118" s="1">
        <f t="shared" si="0"/>
        <v>20024</v>
      </c>
      <c r="B118" s="1">
        <v>1</v>
      </c>
      <c r="C118" s="1">
        <v>1</v>
      </c>
      <c r="D118" s="1">
        <v>2</v>
      </c>
      <c r="E118" s="1">
        <f t="shared" si="1"/>
        <v>1</v>
      </c>
      <c r="I118" s="1">
        <v>4.9000000000000002E-2</v>
      </c>
      <c r="K118" s="1">
        <v>7</v>
      </c>
      <c r="W118" s="1">
        <v>3</v>
      </c>
      <c r="AT118" s="1">
        <v>9</v>
      </c>
      <c r="AU118" s="1">
        <v>22</v>
      </c>
      <c r="AV118" s="1" t="s">
        <v>292</v>
      </c>
      <c r="AW118" s="1" t="s">
        <v>207</v>
      </c>
      <c r="AX118" s="1" t="s">
        <v>296</v>
      </c>
      <c r="AY118" s="1" t="s">
        <v>217</v>
      </c>
      <c r="AZ118" s="1" t="s">
        <v>1097</v>
      </c>
      <c r="BA118" s="1" t="s">
        <v>294</v>
      </c>
      <c r="BB118" s="1" t="s">
        <v>205</v>
      </c>
      <c r="BC118" s="1" t="s">
        <v>59</v>
      </c>
      <c r="BD118" s="1" t="s">
        <v>295</v>
      </c>
    </row>
    <row r="119" spans="1:56" ht="15.75" customHeight="1">
      <c r="A119" s="1">
        <f t="shared" si="0"/>
        <v>20024</v>
      </c>
      <c r="B119" s="1">
        <v>1</v>
      </c>
      <c r="C119" s="1">
        <v>1</v>
      </c>
      <c r="D119" s="1">
        <v>2</v>
      </c>
      <c r="E119" s="1">
        <f t="shared" si="1"/>
        <v>2</v>
      </c>
      <c r="I119" s="1">
        <v>5.3999999999999999E-2</v>
      </c>
      <c r="K119" s="1">
        <v>7</v>
      </c>
      <c r="W119" s="1">
        <v>3</v>
      </c>
      <c r="AT119" s="1">
        <v>9</v>
      </c>
      <c r="AU119" s="1">
        <v>26</v>
      </c>
      <c r="AV119" s="1" t="s">
        <v>292</v>
      </c>
      <c r="AW119" s="1" t="s">
        <v>208</v>
      </c>
      <c r="AX119" s="1" t="s">
        <v>296</v>
      </c>
      <c r="AY119" s="1" t="s">
        <v>217</v>
      </c>
      <c r="AZ119" s="1" t="s">
        <v>1097</v>
      </c>
      <c r="BA119" s="1" t="s">
        <v>294</v>
      </c>
      <c r="BB119" s="1" t="s">
        <v>209</v>
      </c>
      <c r="BC119" s="1" t="s">
        <v>59</v>
      </c>
      <c r="BD119" s="1" t="s">
        <v>295</v>
      </c>
    </row>
    <row r="120" spans="1:56" ht="15.75" customHeight="1">
      <c r="A120" s="1">
        <f t="shared" si="0"/>
        <v>20024</v>
      </c>
      <c r="B120" s="1">
        <v>1</v>
      </c>
      <c r="C120" s="1">
        <v>1</v>
      </c>
      <c r="D120" s="1">
        <v>2</v>
      </c>
      <c r="E120" s="1">
        <f t="shared" si="1"/>
        <v>3</v>
      </c>
      <c r="I120" s="1">
        <v>5.8999999999999997E-2</v>
      </c>
      <c r="K120" s="1">
        <v>7</v>
      </c>
      <c r="W120" s="1">
        <v>3</v>
      </c>
      <c r="AT120" s="1">
        <v>17</v>
      </c>
      <c r="AU120" s="1">
        <v>26</v>
      </c>
      <c r="AV120" s="1" t="s">
        <v>292</v>
      </c>
      <c r="AW120" s="1" t="s">
        <v>210</v>
      </c>
      <c r="AX120" s="1" t="s">
        <v>296</v>
      </c>
      <c r="AY120" s="1" t="s">
        <v>217</v>
      </c>
      <c r="AZ120" s="1" t="s">
        <v>1086</v>
      </c>
      <c r="BA120" s="1" t="s">
        <v>294</v>
      </c>
      <c r="BB120" s="1" t="s">
        <v>209</v>
      </c>
      <c r="BC120" s="1" t="s">
        <v>59</v>
      </c>
      <c r="BD120" s="1" t="s">
        <v>295</v>
      </c>
    </row>
    <row r="121" spans="1:56" ht="15.75" customHeight="1">
      <c r="A121" s="1">
        <f t="shared" si="0"/>
        <v>20024</v>
      </c>
      <c r="B121" s="1">
        <v>1</v>
      </c>
      <c r="C121" s="1">
        <v>1</v>
      </c>
      <c r="D121" s="1">
        <v>2</v>
      </c>
      <c r="E121" s="1">
        <f t="shared" si="1"/>
        <v>4</v>
      </c>
      <c r="I121" s="1">
        <v>6.4000000000000001E-2</v>
      </c>
      <c r="K121" s="1">
        <v>13</v>
      </c>
      <c r="W121" s="1">
        <v>3</v>
      </c>
      <c r="AT121" s="1">
        <v>17</v>
      </c>
      <c r="AU121" s="1">
        <v>30</v>
      </c>
      <c r="AV121" s="1" t="s">
        <v>292</v>
      </c>
      <c r="AW121" s="1" t="s">
        <v>212</v>
      </c>
      <c r="AX121" s="1" t="s">
        <v>296</v>
      </c>
      <c r="AY121" s="1" t="s">
        <v>221</v>
      </c>
      <c r="AZ121" s="1" t="s">
        <v>1086</v>
      </c>
      <c r="BA121" s="1" t="s">
        <v>294</v>
      </c>
      <c r="BB121" s="1" t="s">
        <v>214</v>
      </c>
      <c r="BC121" s="1" t="s">
        <v>59</v>
      </c>
      <c r="BD121" s="1" t="s">
        <v>295</v>
      </c>
    </row>
    <row r="122" spans="1:56" ht="15.75" customHeight="1">
      <c r="A122" s="1">
        <f t="shared" si="0"/>
        <v>20025</v>
      </c>
      <c r="B122" s="1">
        <v>1</v>
      </c>
      <c r="C122" s="1">
        <v>2</v>
      </c>
      <c r="D122" s="1">
        <v>2</v>
      </c>
      <c r="E122" s="1">
        <f t="shared" si="1"/>
        <v>0</v>
      </c>
      <c r="G122" s="1">
        <v>37</v>
      </c>
      <c r="O122" s="1">
        <v>6</v>
      </c>
      <c r="P122" s="1"/>
      <c r="Q122" s="1">
        <v>5</v>
      </c>
      <c r="R122" s="1"/>
      <c r="S122" s="1">
        <v>7</v>
      </c>
      <c r="T122" s="1"/>
      <c r="AU122" s="1">
        <v>22</v>
      </c>
      <c r="AV122" s="1" t="s">
        <v>297</v>
      </c>
      <c r="AW122" s="1" t="s">
        <v>928</v>
      </c>
      <c r="AX122" s="1" t="s">
        <v>938</v>
      </c>
      <c r="AY122" s="1" t="s">
        <v>298</v>
      </c>
      <c r="AZ122" s="1" t="s">
        <v>203</v>
      </c>
      <c r="BA122" s="1" t="s">
        <v>299</v>
      </c>
      <c r="BB122" s="1" t="s">
        <v>205</v>
      </c>
      <c r="BC122" s="1" t="s">
        <v>59</v>
      </c>
      <c r="BD122" s="5" t="s">
        <v>300</v>
      </c>
    </row>
    <row r="123" spans="1:56" ht="15.75" customHeight="1">
      <c r="A123" s="1">
        <f t="shared" si="0"/>
        <v>20025</v>
      </c>
      <c r="B123" s="1">
        <v>1</v>
      </c>
      <c r="C123" s="1">
        <v>2</v>
      </c>
      <c r="D123" s="1">
        <v>2</v>
      </c>
      <c r="E123" s="1">
        <f t="shared" si="1"/>
        <v>1</v>
      </c>
      <c r="G123" s="1">
        <v>40</v>
      </c>
      <c r="O123" s="1">
        <v>6</v>
      </c>
      <c r="P123" s="1"/>
      <c r="Q123" s="1">
        <v>5</v>
      </c>
      <c r="R123" s="1"/>
      <c r="S123" s="1">
        <v>14</v>
      </c>
      <c r="T123" s="1"/>
      <c r="AU123" s="1">
        <v>22</v>
      </c>
      <c r="AV123" s="1" t="s">
        <v>297</v>
      </c>
      <c r="AW123" s="1" t="s">
        <v>926</v>
      </c>
      <c r="AX123" s="1" t="s">
        <v>935</v>
      </c>
      <c r="AY123" s="1" t="s">
        <v>298</v>
      </c>
      <c r="AZ123" s="1" t="s">
        <v>203</v>
      </c>
      <c r="BA123" s="1" t="s">
        <v>299</v>
      </c>
      <c r="BB123" s="1" t="s">
        <v>205</v>
      </c>
      <c r="BC123" s="1" t="s">
        <v>59</v>
      </c>
      <c r="BD123" s="5" t="s">
        <v>300</v>
      </c>
    </row>
    <row r="124" spans="1:56" ht="15.75" customHeight="1">
      <c r="A124" s="1">
        <f t="shared" si="0"/>
        <v>20025</v>
      </c>
      <c r="B124" s="1">
        <v>1</v>
      </c>
      <c r="C124" s="1">
        <v>2</v>
      </c>
      <c r="D124" s="1">
        <v>2</v>
      </c>
      <c r="E124" s="1">
        <f t="shared" si="1"/>
        <v>2</v>
      </c>
      <c r="G124" s="1">
        <v>43</v>
      </c>
      <c r="O124" s="1">
        <v>6</v>
      </c>
      <c r="P124" s="1"/>
      <c r="Q124" s="1">
        <v>5</v>
      </c>
      <c r="R124" s="1"/>
      <c r="S124" s="1">
        <v>14</v>
      </c>
      <c r="T124" s="1"/>
      <c r="AU124" s="1">
        <v>26</v>
      </c>
      <c r="AV124" s="1" t="s">
        <v>297</v>
      </c>
      <c r="AW124" s="1" t="s">
        <v>930</v>
      </c>
      <c r="AX124" s="1" t="s">
        <v>935</v>
      </c>
      <c r="AY124" s="1" t="s">
        <v>298</v>
      </c>
      <c r="AZ124" s="1" t="s">
        <v>203</v>
      </c>
      <c r="BA124" s="1" t="s">
        <v>299</v>
      </c>
      <c r="BB124" s="1" t="s">
        <v>209</v>
      </c>
      <c r="BC124" s="1" t="s">
        <v>59</v>
      </c>
      <c r="BD124" s="5" t="s">
        <v>300</v>
      </c>
    </row>
    <row r="125" spans="1:56" ht="15.75" customHeight="1">
      <c r="A125" s="1">
        <f t="shared" si="0"/>
        <v>20025</v>
      </c>
      <c r="B125" s="1">
        <v>1</v>
      </c>
      <c r="C125" s="1">
        <v>2</v>
      </c>
      <c r="D125" s="1">
        <v>2</v>
      </c>
      <c r="E125" s="1">
        <f t="shared" si="1"/>
        <v>3</v>
      </c>
      <c r="G125" s="1">
        <v>46</v>
      </c>
      <c r="O125" s="1">
        <v>11</v>
      </c>
      <c r="P125" s="1"/>
      <c r="Q125" s="1">
        <v>5</v>
      </c>
      <c r="R125" s="1"/>
      <c r="S125" s="1">
        <v>14</v>
      </c>
      <c r="T125" s="1"/>
      <c r="AU125" s="1">
        <v>26</v>
      </c>
      <c r="AV125" s="1" t="s">
        <v>297</v>
      </c>
      <c r="AW125" s="1" t="s">
        <v>932</v>
      </c>
      <c r="AX125" s="1" t="s">
        <v>935</v>
      </c>
      <c r="AY125" s="1" t="s">
        <v>298</v>
      </c>
      <c r="AZ125" s="1" t="s">
        <v>211</v>
      </c>
      <c r="BA125" s="1" t="s">
        <v>299</v>
      </c>
      <c r="BB125" s="1" t="s">
        <v>209</v>
      </c>
      <c r="BC125" s="1" t="s">
        <v>59</v>
      </c>
      <c r="BD125" s="5" t="s">
        <v>300</v>
      </c>
    </row>
    <row r="126" spans="1:56" ht="15.75" customHeight="1">
      <c r="A126" s="1">
        <f t="shared" si="0"/>
        <v>20025</v>
      </c>
      <c r="B126" s="1">
        <v>1</v>
      </c>
      <c r="C126" s="1">
        <v>2</v>
      </c>
      <c r="D126" s="1">
        <v>2</v>
      </c>
      <c r="E126" s="1">
        <f t="shared" si="1"/>
        <v>4</v>
      </c>
      <c r="G126" s="1">
        <v>49</v>
      </c>
      <c r="O126" s="1">
        <v>11</v>
      </c>
      <c r="P126" s="1"/>
      <c r="Q126" s="1">
        <v>10</v>
      </c>
      <c r="R126" s="1"/>
      <c r="S126" s="1">
        <v>14</v>
      </c>
      <c r="T126" s="1"/>
      <c r="AU126" s="1">
        <v>30</v>
      </c>
      <c r="AV126" s="1" t="s">
        <v>297</v>
      </c>
      <c r="AW126" s="1" t="s">
        <v>934</v>
      </c>
      <c r="AX126" s="1" t="s">
        <v>935</v>
      </c>
      <c r="AY126" s="1" t="s">
        <v>301</v>
      </c>
      <c r="AZ126" s="1" t="s">
        <v>211</v>
      </c>
      <c r="BA126" s="1" t="s">
        <v>299</v>
      </c>
      <c r="BB126" s="1" t="s">
        <v>214</v>
      </c>
      <c r="BC126" s="1" t="s">
        <v>59</v>
      </c>
      <c r="BD126" s="5" t="s">
        <v>300</v>
      </c>
    </row>
    <row r="127" spans="1:56" ht="15.75" customHeight="1">
      <c r="A127" s="1">
        <f t="shared" si="0"/>
        <v>20026</v>
      </c>
      <c r="B127" s="1">
        <v>2</v>
      </c>
      <c r="C127" s="1">
        <v>0</v>
      </c>
      <c r="D127" s="1">
        <v>2</v>
      </c>
      <c r="E127" s="1">
        <f t="shared" si="1"/>
        <v>0</v>
      </c>
      <c r="H127" s="1">
        <v>15</v>
      </c>
      <c r="I127" s="1">
        <v>4.3999999999999997E-2</v>
      </c>
      <c r="K127" s="1">
        <v>7</v>
      </c>
      <c r="W127" s="1">
        <v>2</v>
      </c>
      <c r="AU127" s="1">
        <v>22</v>
      </c>
      <c r="AV127" s="1" t="s">
        <v>302</v>
      </c>
      <c r="AW127" s="1" t="s">
        <v>139</v>
      </c>
      <c r="AX127" s="1" t="s">
        <v>178</v>
      </c>
      <c r="AY127" s="1" t="s">
        <v>141</v>
      </c>
      <c r="AZ127" s="1" t="s">
        <v>249</v>
      </c>
      <c r="BA127" s="1" t="s">
        <v>303</v>
      </c>
      <c r="BB127" s="1" t="s">
        <v>143</v>
      </c>
      <c r="BC127" s="1" t="s">
        <v>59</v>
      </c>
      <c r="BD127" s="5" t="s">
        <v>304</v>
      </c>
    </row>
    <row r="128" spans="1:56" ht="15.75" customHeight="1">
      <c r="A128" s="1">
        <f t="shared" si="0"/>
        <v>20026</v>
      </c>
      <c r="B128" s="1">
        <v>2</v>
      </c>
      <c r="C128" s="1">
        <v>0</v>
      </c>
      <c r="D128" s="1">
        <v>2</v>
      </c>
      <c r="E128" s="1">
        <f t="shared" si="1"/>
        <v>1</v>
      </c>
      <c r="H128" s="1">
        <v>30</v>
      </c>
      <c r="I128" s="1">
        <v>4.9000000000000002E-2</v>
      </c>
      <c r="K128" s="1">
        <v>7</v>
      </c>
      <c r="W128" s="1">
        <v>2</v>
      </c>
      <c r="AU128" s="1">
        <v>22</v>
      </c>
      <c r="AV128" s="1" t="s">
        <v>302</v>
      </c>
      <c r="AW128" s="1" t="s">
        <v>145</v>
      </c>
      <c r="AX128" s="1" t="s">
        <v>182</v>
      </c>
      <c r="AY128" s="1" t="s">
        <v>141</v>
      </c>
      <c r="AZ128" s="1" t="s">
        <v>249</v>
      </c>
      <c r="BA128" s="1" t="s">
        <v>303</v>
      </c>
      <c r="BB128" s="1" t="s">
        <v>143</v>
      </c>
      <c r="BC128" s="1" t="s">
        <v>59</v>
      </c>
      <c r="BD128" s="5" t="s">
        <v>304</v>
      </c>
    </row>
    <row r="129" spans="1:56" ht="15.75" customHeight="1">
      <c r="A129" s="1">
        <f t="shared" si="0"/>
        <v>20026</v>
      </c>
      <c r="B129" s="1">
        <v>2</v>
      </c>
      <c r="C129" s="1">
        <v>0</v>
      </c>
      <c r="D129" s="1">
        <v>2</v>
      </c>
      <c r="E129" s="1">
        <f t="shared" si="1"/>
        <v>2</v>
      </c>
      <c r="H129" s="1">
        <v>30</v>
      </c>
      <c r="I129" s="1">
        <v>5.3999999999999999E-2</v>
      </c>
      <c r="K129" s="1">
        <v>7</v>
      </c>
      <c r="W129" s="1">
        <v>2</v>
      </c>
      <c r="AU129" s="1">
        <v>26</v>
      </c>
      <c r="AV129" s="1" t="s">
        <v>302</v>
      </c>
      <c r="AW129" s="1" t="s">
        <v>147</v>
      </c>
      <c r="AX129" s="1" t="s">
        <v>182</v>
      </c>
      <c r="AY129" s="1" t="s">
        <v>141</v>
      </c>
      <c r="AZ129" s="1" t="s">
        <v>249</v>
      </c>
      <c r="BA129" s="1" t="s">
        <v>303</v>
      </c>
      <c r="BB129" s="1" t="s">
        <v>148</v>
      </c>
      <c r="BC129" s="1" t="s">
        <v>59</v>
      </c>
      <c r="BD129" s="5" t="s">
        <v>304</v>
      </c>
    </row>
    <row r="130" spans="1:56" ht="15.75" customHeight="1">
      <c r="A130" s="1">
        <f t="shared" si="0"/>
        <v>20026</v>
      </c>
      <c r="B130" s="1">
        <v>2</v>
      </c>
      <c r="C130" s="1">
        <v>0</v>
      </c>
      <c r="D130" s="1">
        <v>2</v>
      </c>
      <c r="E130" s="1">
        <f t="shared" si="1"/>
        <v>3</v>
      </c>
      <c r="H130" s="1">
        <v>30</v>
      </c>
      <c r="I130" s="1">
        <v>5.8999999999999997E-2</v>
      </c>
      <c r="K130" s="1">
        <v>7</v>
      </c>
      <c r="W130" s="1">
        <v>3</v>
      </c>
      <c r="AU130" s="1">
        <v>26</v>
      </c>
      <c r="AV130" s="1" t="s">
        <v>302</v>
      </c>
      <c r="AW130" s="1" t="s">
        <v>149</v>
      </c>
      <c r="AX130" s="1" t="s">
        <v>182</v>
      </c>
      <c r="AY130" s="1" t="s">
        <v>141</v>
      </c>
      <c r="AZ130" s="1" t="s">
        <v>254</v>
      </c>
      <c r="BA130" s="1" t="s">
        <v>303</v>
      </c>
      <c r="BB130" s="1" t="s">
        <v>148</v>
      </c>
      <c r="BC130" s="1" t="s">
        <v>59</v>
      </c>
      <c r="BD130" s="5" t="s">
        <v>304</v>
      </c>
    </row>
    <row r="131" spans="1:56" ht="15.75" customHeight="1">
      <c r="A131" s="1">
        <f t="shared" si="0"/>
        <v>20026</v>
      </c>
      <c r="B131" s="1">
        <v>2</v>
      </c>
      <c r="C131" s="1">
        <v>0</v>
      </c>
      <c r="D131" s="1">
        <v>2</v>
      </c>
      <c r="E131" s="1">
        <f t="shared" si="1"/>
        <v>4</v>
      </c>
      <c r="H131" s="1">
        <v>30</v>
      </c>
      <c r="I131" s="1">
        <v>6.4000000000000001E-2</v>
      </c>
      <c r="K131" s="1">
        <v>13</v>
      </c>
      <c r="W131" s="1">
        <v>3</v>
      </c>
      <c r="AU131" s="1">
        <v>30</v>
      </c>
      <c r="AV131" s="1" t="s">
        <v>302</v>
      </c>
      <c r="AW131" s="1" t="s">
        <v>150</v>
      </c>
      <c r="AX131" s="1" t="s">
        <v>182</v>
      </c>
      <c r="AY131" s="1" t="s">
        <v>151</v>
      </c>
      <c r="AZ131" s="1" t="s">
        <v>254</v>
      </c>
      <c r="BA131" s="1" t="s">
        <v>303</v>
      </c>
      <c r="BB131" s="1" t="s">
        <v>152</v>
      </c>
      <c r="BC131" s="1" t="s">
        <v>59</v>
      </c>
      <c r="BD131" s="5" t="s">
        <v>304</v>
      </c>
    </row>
    <row r="132" spans="1:56" ht="15.75" customHeight="1">
      <c r="A132" s="1">
        <f t="shared" si="0"/>
        <v>20027</v>
      </c>
      <c r="B132" s="1">
        <v>1</v>
      </c>
      <c r="C132" s="1">
        <v>0</v>
      </c>
      <c r="D132" s="1">
        <v>2</v>
      </c>
      <c r="E132" s="1">
        <f t="shared" si="1"/>
        <v>0</v>
      </c>
      <c r="G132" s="1">
        <v>37</v>
      </c>
      <c r="K132" s="1">
        <v>7</v>
      </c>
      <c r="O132" s="1">
        <v>6</v>
      </c>
      <c r="P132" s="1"/>
      <c r="W132" s="1">
        <v>2</v>
      </c>
      <c r="AU132" s="1">
        <v>22</v>
      </c>
      <c r="AV132" s="1" t="s">
        <v>305</v>
      </c>
      <c r="AW132" s="1" t="s">
        <v>928</v>
      </c>
      <c r="AX132" s="1" t="s">
        <v>293</v>
      </c>
      <c r="AY132" s="1" t="s">
        <v>217</v>
      </c>
      <c r="AZ132" s="1" t="s">
        <v>203</v>
      </c>
      <c r="BA132" s="1" t="s">
        <v>306</v>
      </c>
      <c r="BB132" s="1" t="s">
        <v>205</v>
      </c>
      <c r="BC132" s="1" t="s">
        <v>59</v>
      </c>
      <c r="BD132" s="1" t="s">
        <v>307</v>
      </c>
    </row>
    <row r="133" spans="1:56" ht="15.75" customHeight="1">
      <c r="A133" s="1">
        <f t="shared" si="0"/>
        <v>20027</v>
      </c>
      <c r="B133" s="1">
        <v>1</v>
      </c>
      <c r="C133" s="1">
        <v>0</v>
      </c>
      <c r="D133" s="1">
        <v>2</v>
      </c>
      <c r="E133" s="1">
        <f t="shared" si="1"/>
        <v>1</v>
      </c>
      <c r="G133" s="1">
        <v>40</v>
      </c>
      <c r="K133" s="1">
        <v>7</v>
      </c>
      <c r="O133" s="1">
        <v>6</v>
      </c>
      <c r="P133" s="1"/>
      <c r="W133" s="1">
        <v>3</v>
      </c>
      <c r="AU133" s="1">
        <v>22</v>
      </c>
      <c r="AV133" s="1" t="s">
        <v>305</v>
      </c>
      <c r="AW133" s="1" t="s">
        <v>926</v>
      </c>
      <c r="AX133" s="1" t="s">
        <v>296</v>
      </c>
      <c r="AY133" s="1" t="s">
        <v>217</v>
      </c>
      <c r="AZ133" s="1" t="s">
        <v>203</v>
      </c>
      <c r="BA133" s="1" t="s">
        <v>306</v>
      </c>
      <c r="BB133" s="1" t="s">
        <v>205</v>
      </c>
      <c r="BC133" s="1" t="s">
        <v>59</v>
      </c>
      <c r="BD133" s="1" t="s">
        <v>307</v>
      </c>
    </row>
    <row r="134" spans="1:56" ht="15.75" customHeight="1">
      <c r="A134" s="1">
        <f t="shared" si="0"/>
        <v>20027</v>
      </c>
      <c r="B134" s="1">
        <v>1</v>
      </c>
      <c r="C134" s="1">
        <v>0</v>
      </c>
      <c r="D134" s="1">
        <v>2</v>
      </c>
      <c r="E134" s="1">
        <f t="shared" si="1"/>
        <v>2</v>
      </c>
      <c r="G134" s="1">
        <v>43</v>
      </c>
      <c r="K134" s="1">
        <v>7</v>
      </c>
      <c r="O134" s="1">
        <v>6</v>
      </c>
      <c r="P134" s="1"/>
      <c r="W134" s="1">
        <v>3</v>
      </c>
      <c r="AU134" s="1">
        <v>26</v>
      </c>
      <c r="AV134" s="1" t="s">
        <v>305</v>
      </c>
      <c r="AW134" s="1" t="s">
        <v>930</v>
      </c>
      <c r="AX134" s="1" t="s">
        <v>296</v>
      </c>
      <c r="AY134" s="1" t="s">
        <v>217</v>
      </c>
      <c r="AZ134" s="1" t="s">
        <v>203</v>
      </c>
      <c r="BA134" s="1" t="s">
        <v>306</v>
      </c>
      <c r="BB134" s="1" t="s">
        <v>209</v>
      </c>
      <c r="BC134" s="1" t="s">
        <v>59</v>
      </c>
      <c r="BD134" s="1" t="s">
        <v>307</v>
      </c>
    </row>
    <row r="135" spans="1:56" ht="15.75" customHeight="1">
      <c r="A135" s="1">
        <f t="shared" si="0"/>
        <v>20027</v>
      </c>
      <c r="B135" s="1">
        <v>1</v>
      </c>
      <c r="C135" s="1">
        <v>0</v>
      </c>
      <c r="D135" s="1">
        <v>2</v>
      </c>
      <c r="E135" s="1">
        <f t="shared" si="1"/>
        <v>3</v>
      </c>
      <c r="G135" s="1">
        <v>46</v>
      </c>
      <c r="K135" s="1">
        <v>7</v>
      </c>
      <c r="O135" s="1">
        <v>11</v>
      </c>
      <c r="P135" s="1"/>
      <c r="W135" s="1">
        <v>3</v>
      </c>
      <c r="AU135" s="1">
        <v>26</v>
      </c>
      <c r="AV135" s="1" t="s">
        <v>305</v>
      </c>
      <c r="AW135" s="1" t="s">
        <v>932</v>
      </c>
      <c r="AX135" s="1" t="s">
        <v>296</v>
      </c>
      <c r="AY135" s="1" t="s">
        <v>217</v>
      </c>
      <c r="AZ135" s="1" t="s">
        <v>211</v>
      </c>
      <c r="BA135" s="1" t="s">
        <v>306</v>
      </c>
      <c r="BB135" s="1" t="s">
        <v>209</v>
      </c>
      <c r="BC135" s="1" t="s">
        <v>59</v>
      </c>
      <c r="BD135" s="1" t="s">
        <v>307</v>
      </c>
    </row>
    <row r="136" spans="1:56" ht="15.75" customHeight="1">
      <c r="A136" s="1">
        <f t="shared" si="0"/>
        <v>20027</v>
      </c>
      <c r="B136" s="1">
        <v>1</v>
      </c>
      <c r="C136" s="1">
        <v>0</v>
      </c>
      <c r="D136" s="1">
        <v>2</v>
      </c>
      <c r="E136" s="1">
        <f t="shared" si="1"/>
        <v>4</v>
      </c>
      <c r="G136" s="1">
        <v>49</v>
      </c>
      <c r="K136" s="1">
        <v>13</v>
      </c>
      <c r="O136" s="1">
        <v>11</v>
      </c>
      <c r="P136" s="1"/>
      <c r="W136" s="1">
        <v>3</v>
      </c>
      <c r="AU136" s="1">
        <v>30</v>
      </c>
      <c r="AV136" s="1" t="s">
        <v>305</v>
      </c>
      <c r="AW136" s="1" t="s">
        <v>934</v>
      </c>
      <c r="AX136" s="1" t="s">
        <v>296</v>
      </c>
      <c r="AY136" s="1" t="s">
        <v>221</v>
      </c>
      <c r="AZ136" s="1" t="s">
        <v>211</v>
      </c>
      <c r="BA136" s="1" t="s">
        <v>306</v>
      </c>
      <c r="BB136" s="1" t="s">
        <v>214</v>
      </c>
      <c r="BC136" s="1" t="s">
        <v>59</v>
      </c>
      <c r="BD136" s="1" t="s">
        <v>307</v>
      </c>
    </row>
    <row r="137" spans="1:56" ht="15.75" customHeight="1">
      <c r="A137" s="1">
        <f t="shared" si="0"/>
        <v>20028</v>
      </c>
      <c r="B137" s="1">
        <v>0</v>
      </c>
      <c r="C137" s="1">
        <v>2</v>
      </c>
      <c r="D137" s="1">
        <v>2</v>
      </c>
      <c r="E137" s="1">
        <f t="shared" si="1"/>
        <v>0</v>
      </c>
      <c r="G137" s="1">
        <v>37</v>
      </c>
      <c r="N137" s="1">
        <v>9</v>
      </c>
      <c r="AU137" s="1">
        <v>22</v>
      </c>
      <c r="AV137" s="1" t="s">
        <v>308</v>
      </c>
      <c r="AW137" s="1" t="s">
        <v>927</v>
      </c>
      <c r="AX137" s="1" t="s">
        <v>240</v>
      </c>
      <c r="AY137" s="1" t="s">
        <v>169</v>
      </c>
      <c r="AZ137" s="1" t="s">
        <v>256</v>
      </c>
      <c r="BA137" s="1" t="s">
        <v>309</v>
      </c>
      <c r="BB137" s="1" t="s">
        <v>158</v>
      </c>
      <c r="BC137" s="1" t="s">
        <v>59</v>
      </c>
      <c r="BD137" s="1" t="s">
        <v>310</v>
      </c>
    </row>
    <row r="138" spans="1:56" ht="15.75" customHeight="1">
      <c r="A138" s="1">
        <f t="shared" si="0"/>
        <v>20028</v>
      </c>
      <c r="B138" s="1">
        <v>0</v>
      </c>
      <c r="C138" s="1">
        <v>2</v>
      </c>
      <c r="D138" s="1">
        <v>2</v>
      </c>
      <c r="E138" s="1">
        <f t="shared" si="1"/>
        <v>1</v>
      </c>
      <c r="G138" s="1">
        <v>40</v>
      </c>
      <c r="N138" s="1">
        <v>9</v>
      </c>
      <c r="AU138" s="1">
        <v>22</v>
      </c>
      <c r="AV138" s="1" t="s">
        <v>308</v>
      </c>
      <c r="AW138" s="1" t="s">
        <v>925</v>
      </c>
      <c r="AX138" s="1" t="s">
        <v>245</v>
      </c>
      <c r="AY138" s="1" t="s">
        <v>169</v>
      </c>
      <c r="AZ138" s="1" t="s">
        <v>256</v>
      </c>
      <c r="BA138" s="1" t="s">
        <v>309</v>
      </c>
      <c r="BB138" s="1" t="s">
        <v>158</v>
      </c>
      <c r="BC138" s="1" t="s">
        <v>59</v>
      </c>
      <c r="BD138" s="1" t="s">
        <v>310</v>
      </c>
    </row>
    <row r="139" spans="1:56" ht="15.75" customHeight="1">
      <c r="A139" s="1">
        <f t="shared" si="0"/>
        <v>20028</v>
      </c>
      <c r="B139" s="1">
        <v>0</v>
      </c>
      <c r="C139" s="1">
        <v>2</v>
      </c>
      <c r="D139" s="1">
        <v>2</v>
      </c>
      <c r="E139" s="1">
        <f t="shared" si="1"/>
        <v>2</v>
      </c>
      <c r="G139" s="1">
        <v>43</v>
      </c>
      <c r="N139" s="1">
        <v>9</v>
      </c>
      <c r="AU139" s="1">
        <v>26</v>
      </c>
      <c r="AV139" s="1" t="s">
        <v>308</v>
      </c>
      <c r="AW139" s="1" t="s">
        <v>929</v>
      </c>
      <c r="AX139" s="1" t="s">
        <v>245</v>
      </c>
      <c r="AY139" s="1" t="s">
        <v>169</v>
      </c>
      <c r="AZ139" s="1" t="s">
        <v>256</v>
      </c>
      <c r="BA139" s="1" t="s">
        <v>309</v>
      </c>
      <c r="BB139" s="1" t="s">
        <v>163</v>
      </c>
      <c r="BC139" s="1" t="s">
        <v>59</v>
      </c>
      <c r="BD139" s="1" t="s">
        <v>310</v>
      </c>
    </row>
    <row r="140" spans="1:56" ht="15.75" customHeight="1">
      <c r="A140" s="1">
        <f t="shared" si="0"/>
        <v>20028</v>
      </c>
      <c r="B140" s="1">
        <v>0</v>
      </c>
      <c r="C140" s="1">
        <v>2</v>
      </c>
      <c r="D140" s="1">
        <v>2</v>
      </c>
      <c r="E140" s="1">
        <f t="shared" si="1"/>
        <v>3</v>
      </c>
      <c r="G140" s="1">
        <v>46</v>
      </c>
      <c r="N140" s="1">
        <v>17</v>
      </c>
      <c r="AU140" s="1">
        <v>26</v>
      </c>
      <c r="AV140" s="1" t="s">
        <v>308</v>
      </c>
      <c r="AW140" s="1" t="s">
        <v>931</v>
      </c>
      <c r="AX140" s="1" t="s">
        <v>245</v>
      </c>
      <c r="AY140" s="1" t="s">
        <v>169</v>
      </c>
      <c r="AZ140" s="1" t="s">
        <v>259</v>
      </c>
      <c r="BA140" s="1" t="s">
        <v>309</v>
      </c>
      <c r="BB140" s="1" t="s">
        <v>163</v>
      </c>
      <c r="BC140" s="1" t="s">
        <v>59</v>
      </c>
      <c r="BD140" s="1" t="s">
        <v>310</v>
      </c>
    </row>
    <row r="141" spans="1:56" ht="15.75" customHeight="1">
      <c r="A141" s="1">
        <f t="shared" si="0"/>
        <v>20028</v>
      </c>
      <c r="B141" s="1">
        <v>0</v>
      </c>
      <c r="C141" s="1">
        <v>2</v>
      </c>
      <c r="D141" s="1">
        <v>2</v>
      </c>
      <c r="E141" s="1">
        <f t="shared" si="1"/>
        <v>4</v>
      </c>
      <c r="G141" s="1">
        <v>49</v>
      </c>
      <c r="N141" s="1">
        <v>17</v>
      </c>
      <c r="AU141" s="1">
        <v>30</v>
      </c>
      <c r="AV141" s="1" t="s">
        <v>308</v>
      </c>
      <c r="AW141" s="1" t="s">
        <v>933</v>
      </c>
      <c r="AX141" s="1" t="s">
        <v>245</v>
      </c>
      <c r="AY141" s="1" t="s">
        <v>174</v>
      </c>
      <c r="AZ141" s="1" t="s">
        <v>259</v>
      </c>
      <c r="BA141" s="1" t="s">
        <v>309</v>
      </c>
      <c r="BB141" s="1" t="s">
        <v>167</v>
      </c>
      <c r="BC141" s="1" t="s">
        <v>59</v>
      </c>
      <c r="BD141" s="1" t="s">
        <v>310</v>
      </c>
    </row>
    <row r="142" spans="1:56" ht="15.75" customHeight="1">
      <c r="A142" s="1">
        <f t="shared" si="0"/>
        <v>20029</v>
      </c>
      <c r="B142" s="1">
        <v>2</v>
      </c>
      <c r="C142" s="1">
        <v>1</v>
      </c>
      <c r="D142" s="1">
        <v>2</v>
      </c>
      <c r="E142" s="1">
        <f t="shared" si="1"/>
        <v>0</v>
      </c>
      <c r="G142" s="1">
        <v>37</v>
      </c>
      <c r="J142" s="1">
        <v>2</v>
      </c>
      <c r="Q142" s="1">
        <v>5</v>
      </c>
      <c r="R142" s="1"/>
      <c r="AU142" s="1">
        <v>22</v>
      </c>
      <c r="AV142" s="1" t="s">
        <v>311</v>
      </c>
      <c r="AW142" s="1" t="s">
        <v>916</v>
      </c>
      <c r="AX142" s="1" t="s">
        <v>186</v>
      </c>
      <c r="AY142" s="1" t="s">
        <v>187</v>
      </c>
      <c r="AZ142" s="1" t="s">
        <v>280</v>
      </c>
      <c r="BA142" s="1" t="s">
        <v>312</v>
      </c>
      <c r="BB142" s="1" t="s">
        <v>143</v>
      </c>
      <c r="BC142" s="1" t="s">
        <v>59</v>
      </c>
      <c r="BD142" s="5" t="s">
        <v>313</v>
      </c>
    </row>
    <row r="143" spans="1:56" ht="15.75" customHeight="1">
      <c r="A143" s="1">
        <f t="shared" si="0"/>
        <v>20029</v>
      </c>
      <c r="B143" s="1">
        <v>2</v>
      </c>
      <c r="C143" s="1">
        <v>1</v>
      </c>
      <c r="D143" s="1">
        <v>2</v>
      </c>
      <c r="E143" s="1">
        <f t="shared" si="1"/>
        <v>1</v>
      </c>
      <c r="G143" s="1">
        <v>40</v>
      </c>
      <c r="J143" s="1">
        <v>2</v>
      </c>
      <c r="Q143" s="1">
        <v>5</v>
      </c>
      <c r="R143" s="1"/>
      <c r="AU143" s="1">
        <v>22</v>
      </c>
      <c r="AV143" s="1" t="s">
        <v>311</v>
      </c>
      <c r="AW143" s="1" t="s">
        <v>917</v>
      </c>
      <c r="AX143" s="1" t="s">
        <v>191</v>
      </c>
      <c r="AY143" s="1" t="s">
        <v>187</v>
      </c>
      <c r="AZ143" s="1" t="s">
        <v>280</v>
      </c>
      <c r="BA143" s="1" t="s">
        <v>312</v>
      </c>
      <c r="BB143" s="1" t="s">
        <v>143</v>
      </c>
      <c r="BC143" s="1" t="s">
        <v>59</v>
      </c>
      <c r="BD143" s="5" t="s">
        <v>313</v>
      </c>
    </row>
    <row r="144" spans="1:56" ht="15.75" customHeight="1">
      <c r="A144" s="1">
        <f t="shared" si="0"/>
        <v>20029</v>
      </c>
      <c r="B144" s="1">
        <v>2</v>
      </c>
      <c r="C144" s="1">
        <v>1</v>
      </c>
      <c r="D144" s="1">
        <v>2</v>
      </c>
      <c r="E144" s="1">
        <f t="shared" si="1"/>
        <v>2</v>
      </c>
      <c r="G144" s="1">
        <v>43</v>
      </c>
      <c r="J144" s="1">
        <v>2</v>
      </c>
      <c r="Q144" s="1">
        <v>5</v>
      </c>
      <c r="R144" s="1"/>
      <c r="AU144" s="1">
        <v>26</v>
      </c>
      <c r="AV144" s="1" t="s">
        <v>311</v>
      </c>
      <c r="AW144" s="1" t="s">
        <v>918</v>
      </c>
      <c r="AX144" s="1" t="s">
        <v>191</v>
      </c>
      <c r="AY144" s="1" t="s">
        <v>187</v>
      </c>
      <c r="AZ144" s="1" t="s">
        <v>280</v>
      </c>
      <c r="BA144" s="1" t="s">
        <v>312</v>
      </c>
      <c r="BB144" s="1" t="s">
        <v>148</v>
      </c>
      <c r="BC144" s="1" t="s">
        <v>59</v>
      </c>
      <c r="BD144" s="5" t="s">
        <v>313</v>
      </c>
    </row>
    <row r="145" spans="1:56" ht="15.75" customHeight="1">
      <c r="A145" s="1">
        <f t="shared" si="0"/>
        <v>20029</v>
      </c>
      <c r="B145" s="1">
        <v>2</v>
      </c>
      <c r="C145" s="1">
        <v>1</v>
      </c>
      <c r="D145" s="1">
        <v>2</v>
      </c>
      <c r="E145" s="1">
        <f t="shared" si="1"/>
        <v>3</v>
      </c>
      <c r="G145" s="1">
        <v>46</v>
      </c>
      <c r="J145" s="1">
        <v>2</v>
      </c>
      <c r="Q145" s="1">
        <v>10</v>
      </c>
      <c r="R145" s="1"/>
      <c r="AU145" s="1">
        <v>26</v>
      </c>
      <c r="AV145" s="1" t="s">
        <v>311</v>
      </c>
      <c r="AW145" s="1" t="s">
        <v>919</v>
      </c>
      <c r="AX145" s="1" t="s">
        <v>191</v>
      </c>
      <c r="AY145" s="1" t="s">
        <v>187</v>
      </c>
      <c r="AZ145" s="1" t="s">
        <v>283</v>
      </c>
      <c r="BA145" s="1" t="s">
        <v>312</v>
      </c>
      <c r="BB145" s="1" t="s">
        <v>148</v>
      </c>
      <c r="BC145" s="1" t="s">
        <v>59</v>
      </c>
      <c r="BD145" s="5" t="s">
        <v>313</v>
      </c>
    </row>
    <row r="146" spans="1:56" ht="15.75" customHeight="1">
      <c r="A146" s="1">
        <f t="shared" si="0"/>
        <v>20029</v>
      </c>
      <c r="B146" s="1">
        <v>2</v>
      </c>
      <c r="C146" s="1">
        <v>1</v>
      </c>
      <c r="D146" s="1">
        <v>2</v>
      </c>
      <c r="E146" s="1">
        <f t="shared" si="1"/>
        <v>4</v>
      </c>
      <c r="G146" s="1">
        <v>49</v>
      </c>
      <c r="J146" s="1">
        <v>4</v>
      </c>
      <c r="Q146" s="1">
        <v>10</v>
      </c>
      <c r="R146" s="1"/>
      <c r="AU146" s="1">
        <v>30</v>
      </c>
      <c r="AV146" s="1" t="s">
        <v>311</v>
      </c>
      <c r="AW146" s="1" t="s">
        <v>920</v>
      </c>
      <c r="AX146" s="1" t="s">
        <v>191</v>
      </c>
      <c r="AY146" s="1" t="s">
        <v>193</v>
      </c>
      <c r="AZ146" s="1" t="s">
        <v>283</v>
      </c>
      <c r="BA146" s="1" t="s">
        <v>312</v>
      </c>
      <c r="BB146" s="1" t="s">
        <v>152</v>
      </c>
      <c r="BC146" s="1" t="s">
        <v>59</v>
      </c>
      <c r="BD146" s="5" t="s">
        <v>313</v>
      </c>
    </row>
    <row r="147" spans="1:56" ht="15.75" customHeight="1">
      <c r="A147" s="1">
        <f t="shared" si="0"/>
        <v>20030</v>
      </c>
      <c r="B147" s="1">
        <v>1</v>
      </c>
      <c r="C147" s="1">
        <v>0</v>
      </c>
      <c r="D147" s="1">
        <v>2</v>
      </c>
      <c r="E147" s="1">
        <f t="shared" si="1"/>
        <v>0</v>
      </c>
      <c r="F147" s="1">
        <v>10.5</v>
      </c>
      <c r="G147" s="1">
        <v>37</v>
      </c>
      <c r="K147" s="1">
        <v>7</v>
      </c>
      <c r="Q147" s="1">
        <v>5</v>
      </c>
      <c r="R147" s="1"/>
      <c r="AU147" s="1">
        <v>22</v>
      </c>
      <c r="AV147" s="1" t="s">
        <v>314</v>
      </c>
      <c r="AW147" s="1" t="s">
        <v>928</v>
      </c>
      <c r="AX147" s="1" t="s">
        <v>216</v>
      </c>
      <c r="AY147" s="1" t="s">
        <v>217</v>
      </c>
      <c r="AZ147" s="1" t="s">
        <v>298</v>
      </c>
      <c r="BA147" s="1" t="s">
        <v>315</v>
      </c>
      <c r="BB147" s="1" t="s">
        <v>205</v>
      </c>
      <c r="BC147" s="1" t="s">
        <v>59</v>
      </c>
      <c r="BD147" s="1" t="s">
        <v>316</v>
      </c>
    </row>
    <row r="148" spans="1:56" ht="15.75" customHeight="1">
      <c r="A148" s="1">
        <f t="shared" si="0"/>
        <v>20030</v>
      </c>
      <c r="B148" s="1">
        <v>1</v>
      </c>
      <c r="C148" s="1">
        <v>0</v>
      </c>
      <c r="D148" s="1">
        <v>2</v>
      </c>
      <c r="E148" s="1">
        <f t="shared" si="1"/>
        <v>1</v>
      </c>
      <c r="F148" s="1">
        <v>21</v>
      </c>
      <c r="G148" s="1">
        <v>40</v>
      </c>
      <c r="K148" s="1">
        <v>7</v>
      </c>
      <c r="Q148" s="1">
        <v>5</v>
      </c>
      <c r="R148" s="1"/>
      <c r="AU148" s="1">
        <v>22</v>
      </c>
      <c r="AV148" s="1" t="s">
        <v>314</v>
      </c>
      <c r="AW148" s="1" t="s">
        <v>926</v>
      </c>
      <c r="AX148" s="1" t="s">
        <v>220</v>
      </c>
      <c r="AY148" s="1" t="s">
        <v>217</v>
      </c>
      <c r="AZ148" s="1" t="s">
        <v>298</v>
      </c>
      <c r="BA148" s="1" t="s">
        <v>315</v>
      </c>
      <c r="BB148" s="1" t="s">
        <v>205</v>
      </c>
      <c r="BC148" s="1" t="s">
        <v>59</v>
      </c>
      <c r="BD148" s="1" t="s">
        <v>316</v>
      </c>
    </row>
    <row r="149" spans="1:56" ht="15.75" customHeight="1">
      <c r="A149" s="1">
        <f t="shared" si="0"/>
        <v>20030</v>
      </c>
      <c r="B149" s="1">
        <v>1</v>
      </c>
      <c r="C149" s="1">
        <v>0</v>
      </c>
      <c r="D149" s="1">
        <v>2</v>
      </c>
      <c r="E149" s="1">
        <f t="shared" si="1"/>
        <v>2</v>
      </c>
      <c r="F149" s="1">
        <v>21</v>
      </c>
      <c r="G149" s="1">
        <v>43</v>
      </c>
      <c r="K149" s="1">
        <v>7</v>
      </c>
      <c r="Q149" s="1">
        <v>5</v>
      </c>
      <c r="R149" s="1"/>
      <c r="AU149" s="1">
        <v>26</v>
      </c>
      <c r="AV149" s="1" t="s">
        <v>314</v>
      </c>
      <c r="AW149" s="1" t="s">
        <v>930</v>
      </c>
      <c r="AX149" s="1" t="s">
        <v>220</v>
      </c>
      <c r="AY149" s="1" t="s">
        <v>217</v>
      </c>
      <c r="AZ149" s="1" t="s">
        <v>298</v>
      </c>
      <c r="BA149" s="1" t="s">
        <v>315</v>
      </c>
      <c r="BB149" s="1" t="s">
        <v>209</v>
      </c>
      <c r="BC149" s="1" t="s">
        <v>59</v>
      </c>
      <c r="BD149" s="1" t="s">
        <v>316</v>
      </c>
    </row>
    <row r="150" spans="1:56" ht="15.75" customHeight="1">
      <c r="A150" s="1">
        <f t="shared" si="0"/>
        <v>20030</v>
      </c>
      <c r="B150" s="1">
        <v>1</v>
      </c>
      <c r="C150" s="1">
        <v>0</v>
      </c>
      <c r="D150" s="1">
        <v>2</v>
      </c>
      <c r="E150" s="1">
        <f t="shared" si="1"/>
        <v>3</v>
      </c>
      <c r="F150" s="1">
        <v>21</v>
      </c>
      <c r="G150" s="1">
        <v>46</v>
      </c>
      <c r="K150" s="1">
        <v>7</v>
      </c>
      <c r="Q150" s="1">
        <v>10</v>
      </c>
      <c r="R150" s="1"/>
      <c r="AU150" s="1">
        <v>26</v>
      </c>
      <c r="AV150" s="1" t="s">
        <v>314</v>
      </c>
      <c r="AW150" s="1" t="s">
        <v>932</v>
      </c>
      <c r="AX150" s="1" t="s">
        <v>220</v>
      </c>
      <c r="AY150" s="1" t="s">
        <v>217</v>
      </c>
      <c r="AZ150" s="1" t="s">
        <v>301</v>
      </c>
      <c r="BA150" s="1" t="s">
        <v>315</v>
      </c>
      <c r="BB150" s="1" t="s">
        <v>209</v>
      </c>
      <c r="BC150" s="1" t="s">
        <v>59</v>
      </c>
      <c r="BD150" s="1" t="s">
        <v>316</v>
      </c>
    </row>
    <row r="151" spans="1:56" ht="15.75" customHeight="1">
      <c r="A151" s="1">
        <f t="shared" si="0"/>
        <v>20030</v>
      </c>
      <c r="B151" s="1">
        <v>1</v>
      </c>
      <c r="C151" s="1">
        <v>0</v>
      </c>
      <c r="D151" s="1">
        <v>2</v>
      </c>
      <c r="E151" s="1">
        <f t="shared" si="1"/>
        <v>4</v>
      </c>
      <c r="F151" s="1">
        <v>21</v>
      </c>
      <c r="G151" s="1">
        <v>49</v>
      </c>
      <c r="K151" s="1">
        <v>13</v>
      </c>
      <c r="Q151" s="1">
        <v>10</v>
      </c>
      <c r="R151" s="1"/>
      <c r="AU151" s="1">
        <v>30</v>
      </c>
      <c r="AV151" s="1" t="s">
        <v>314</v>
      </c>
      <c r="AW151" s="1" t="s">
        <v>934</v>
      </c>
      <c r="AX151" s="1" t="s">
        <v>220</v>
      </c>
      <c r="AY151" s="1" t="s">
        <v>221</v>
      </c>
      <c r="AZ151" s="1" t="s">
        <v>301</v>
      </c>
      <c r="BA151" s="1" t="s">
        <v>315</v>
      </c>
      <c r="BB151" s="1" t="s">
        <v>214</v>
      </c>
      <c r="BC151" s="1" t="s">
        <v>59</v>
      </c>
      <c r="BD151" s="1" t="s">
        <v>316</v>
      </c>
    </row>
    <row r="152" spans="1:56" ht="15.75" customHeight="1">
      <c r="A152" s="1">
        <f t="shared" si="0"/>
        <v>20031</v>
      </c>
      <c r="B152" s="1">
        <v>1</v>
      </c>
      <c r="C152" s="1">
        <v>0</v>
      </c>
      <c r="D152" s="1">
        <v>2</v>
      </c>
      <c r="E152" s="1">
        <f t="shared" si="1"/>
        <v>0</v>
      </c>
      <c r="I152" s="1">
        <v>4.3999999999999997E-2</v>
      </c>
      <c r="K152" s="1">
        <v>7</v>
      </c>
      <c r="O152" s="1">
        <v>6</v>
      </c>
      <c r="P152" s="1"/>
      <c r="AL152" s="1">
        <v>4</v>
      </c>
      <c r="AU152" s="1">
        <v>22</v>
      </c>
      <c r="AV152" s="1" t="s">
        <v>317</v>
      </c>
      <c r="AW152" s="1" t="s">
        <v>201</v>
      </c>
      <c r="AX152" s="1" t="s">
        <v>318</v>
      </c>
      <c r="AY152" s="1" t="s">
        <v>217</v>
      </c>
      <c r="AZ152" s="1" t="s">
        <v>203</v>
      </c>
      <c r="BA152" s="1" t="s">
        <v>319</v>
      </c>
      <c r="BB152" s="1" t="s">
        <v>205</v>
      </c>
      <c r="BC152" s="1" t="s">
        <v>59</v>
      </c>
      <c r="BD152" s="1" t="s">
        <v>316</v>
      </c>
    </row>
    <row r="153" spans="1:56" ht="15.75" customHeight="1">
      <c r="A153" s="1">
        <f t="shared" si="0"/>
        <v>20031</v>
      </c>
      <c r="B153" s="1">
        <v>1</v>
      </c>
      <c r="C153" s="1">
        <v>0</v>
      </c>
      <c r="D153" s="1">
        <v>2</v>
      </c>
      <c r="E153" s="1">
        <f t="shared" si="1"/>
        <v>1</v>
      </c>
      <c r="I153" s="1">
        <v>4.9000000000000002E-2</v>
      </c>
      <c r="K153" s="1">
        <v>7</v>
      </c>
      <c r="O153" s="1">
        <v>6</v>
      </c>
      <c r="P153" s="1"/>
      <c r="AL153" s="1">
        <v>8</v>
      </c>
      <c r="AU153" s="1">
        <v>22</v>
      </c>
      <c r="AV153" s="1" t="s">
        <v>317</v>
      </c>
      <c r="AW153" s="1" t="s">
        <v>207</v>
      </c>
      <c r="AX153" s="1" t="s">
        <v>320</v>
      </c>
      <c r="AY153" s="1" t="s">
        <v>217</v>
      </c>
      <c r="AZ153" s="1" t="s">
        <v>203</v>
      </c>
      <c r="BA153" s="1" t="s">
        <v>319</v>
      </c>
      <c r="BB153" s="1" t="s">
        <v>205</v>
      </c>
      <c r="BC153" s="1" t="s">
        <v>59</v>
      </c>
      <c r="BD153" s="1" t="s">
        <v>316</v>
      </c>
    </row>
    <row r="154" spans="1:56" ht="15.75" customHeight="1">
      <c r="A154" s="1">
        <f t="shared" si="0"/>
        <v>20031</v>
      </c>
      <c r="B154" s="1">
        <v>1</v>
      </c>
      <c r="C154" s="1">
        <v>0</v>
      </c>
      <c r="D154" s="1">
        <v>2</v>
      </c>
      <c r="E154" s="1">
        <f t="shared" si="1"/>
        <v>2</v>
      </c>
      <c r="I154" s="1">
        <v>5.3999999999999999E-2</v>
      </c>
      <c r="K154" s="1">
        <v>7</v>
      </c>
      <c r="O154" s="1">
        <v>6</v>
      </c>
      <c r="P154" s="1"/>
      <c r="AL154" s="1">
        <v>8</v>
      </c>
      <c r="AU154" s="1">
        <v>26</v>
      </c>
      <c r="AV154" s="1" t="s">
        <v>317</v>
      </c>
      <c r="AW154" s="1" t="s">
        <v>208</v>
      </c>
      <c r="AX154" s="1" t="s">
        <v>320</v>
      </c>
      <c r="AY154" s="1" t="s">
        <v>217</v>
      </c>
      <c r="AZ154" s="1" t="s">
        <v>203</v>
      </c>
      <c r="BA154" s="1" t="s">
        <v>319</v>
      </c>
      <c r="BB154" s="1" t="s">
        <v>209</v>
      </c>
      <c r="BC154" s="1" t="s">
        <v>59</v>
      </c>
      <c r="BD154" s="1" t="s">
        <v>316</v>
      </c>
    </row>
    <row r="155" spans="1:56" ht="15.75" customHeight="1">
      <c r="A155" s="1">
        <f t="shared" si="0"/>
        <v>20031</v>
      </c>
      <c r="B155" s="1">
        <v>1</v>
      </c>
      <c r="C155" s="1">
        <v>0</v>
      </c>
      <c r="D155" s="1">
        <v>2</v>
      </c>
      <c r="E155" s="1">
        <f t="shared" si="1"/>
        <v>3</v>
      </c>
      <c r="I155" s="1">
        <v>5.8999999999999997E-2</v>
      </c>
      <c r="K155" s="1">
        <v>7</v>
      </c>
      <c r="O155" s="1">
        <v>11</v>
      </c>
      <c r="P155" s="1"/>
      <c r="AL155" s="1">
        <v>8</v>
      </c>
      <c r="AU155" s="1">
        <v>26</v>
      </c>
      <c r="AV155" s="1" t="s">
        <v>317</v>
      </c>
      <c r="AW155" s="1" t="s">
        <v>210</v>
      </c>
      <c r="AX155" s="1" t="s">
        <v>320</v>
      </c>
      <c r="AY155" s="1" t="s">
        <v>217</v>
      </c>
      <c r="AZ155" s="1" t="s">
        <v>211</v>
      </c>
      <c r="BA155" s="1" t="s">
        <v>319</v>
      </c>
      <c r="BB155" s="1" t="s">
        <v>209</v>
      </c>
      <c r="BC155" s="1" t="s">
        <v>59</v>
      </c>
      <c r="BD155" s="1" t="s">
        <v>316</v>
      </c>
    </row>
    <row r="156" spans="1:56" ht="15.75" customHeight="1">
      <c r="A156" s="1">
        <f t="shared" si="0"/>
        <v>20031</v>
      </c>
      <c r="B156" s="1">
        <v>1</v>
      </c>
      <c r="C156" s="1">
        <v>0</v>
      </c>
      <c r="D156" s="1">
        <v>2</v>
      </c>
      <c r="E156" s="1">
        <f t="shared" si="1"/>
        <v>4</v>
      </c>
      <c r="I156" s="1">
        <v>6.4000000000000001E-2</v>
      </c>
      <c r="K156" s="1">
        <v>13</v>
      </c>
      <c r="O156" s="1">
        <v>11</v>
      </c>
      <c r="P156" s="1"/>
      <c r="AL156" s="1">
        <v>8</v>
      </c>
      <c r="AU156" s="1">
        <v>30</v>
      </c>
      <c r="AV156" s="1" t="s">
        <v>317</v>
      </c>
      <c r="AW156" s="1" t="s">
        <v>212</v>
      </c>
      <c r="AX156" s="1" t="s">
        <v>320</v>
      </c>
      <c r="AY156" s="1" t="s">
        <v>221</v>
      </c>
      <c r="AZ156" s="1" t="s">
        <v>211</v>
      </c>
      <c r="BA156" s="1" t="s">
        <v>319</v>
      </c>
      <c r="BB156" s="1" t="s">
        <v>214</v>
      </c>
      <c r="BC156" s="1" t="s">
        <v>59</v>
      </c>
      <c r="BD156" s="1" t="s">
        <v>316</v>
      </c>
    </row>
    <row r="157" spans="1:56" ht="15.75" customHeight="1">
      <c r="A157" s="1">
        <f t="shared" si="0"/>
        <v>20032</v>
      </c>
      <c r="B157" s="1">
        <v>0</v>
      </c>
      <c r="C157" s="1">
        <v>1</v>
      </c>
      <c r="D157" s="1">
        <v>2</v>
      </c>
      <c r="E157" s="1">
        <f t="shared" si="1"/>
        <v>0</v>
      </c>
      <c r="F157" s="1">
        <v>10.5</v>
      </c>
      <c r="G157" s="1">
        <v>37</v>
      </c>
      <c r="K157" s="1">
        <v>7</v>
      </c>
      <c r="U157" s="1">
        <v>3</v>
      </c>
      <c r="AU157" s="1">
        <v>22</v>
      </c>
      <c r="AV157" s="1" t="s">
        <v>321</v>
      </c>
      <c r="AW157" s="1" t="s">
        <v>927</v>
      </c>
      <c r="AX157" s="1" t="s">
        <v>155</v>
      </c>
      <c r="AY157" s="1" t="s">
        <v>156</v>
      </c>
      <c r="AZ157" s="1" t="s">
        <v>118</v>
      </c>
      <c r="BA157" s="1" t="s">
        <v>322</v>
      </c>
      <c r="BB157" s="1" t="s">
        <v>158</v>
      </c>
      <c r="BC157" s="1" t="s">
        <v>59</v>
      </c>
      <c r="BD157" s="5" t="s">
        <v>323</v>
      </c>
    </row>
    <row r="158" spans="1:56" ht="15.75" customHeight="1">
      <c r="A158" s="1">
        <f t="shared" si="0"/>
        <v>20032</v>
      </c>
      <c r="B158" s="1">
        <v>0</v>
      </c>
      <c r="C158" s="1">
        <v>1</v>
      </c>
      <c r="D158" s="1">
        <v>2</v>
      </c>
      <c r="E158" s="1">
        <f t="shared" si="1"/>
        <v>1</v>
      </c>
      <c r="F158" s="1">
        <v>21</v>
      </c>
      <c r="G158" s="1">
        <v>40</v>
      </c>
      <c r="K158" s="1">
        <v>7</v>
      </c>
      <c r="U158" s="1">
        <v>3</v>
      </c>
      <c r="AU158" s="1">
        <v>22</v>
      </c>
      <c r="AV158" s="1" t="s">
        <v>321</v>
      </c>
      <c r="AW158" s="1" t="s">
        <v>925</v>
      </c>
      <c r="AX158" s="1" t="s">
        <v>161</v>
      </c>
      <c r="AY158" s="1" t="s">
        <v>156</v>
      </c>
      <c r="AZ158" s="1" t="s">
        <v>118</v>
      </c>
      <c r="BA158" s="1" t="s">
        <v>322</v>
      </c>
      <c r="BB158" s="1" t="s">
        <v>158</v>
      </c>
      <c r="BC158" s="1" t="s">
        <v>59</v>
      </c>
      <c r="BD158" s="5" t="s">
        <v>324</v>
      </c>
    </row>
    <row r="159" spans="1:56" ht="15.75" customHeight="1">
      <c r="A159" s="1">
        <f t="shared" si="0"/>
        <v>20032</v>
      </c>
      <c r="B159" s="1">
        <v>0</v>
      </c>
      <c r="C159" s="1">
        <v>1</v>
      </c>
      <c r="D159" s="1">
        <v>2</v>
      </c>
      <c r="E159" s="1">
        <f t="shared" si="1"/>
        <v>2</v>
      </c>
      <c r="F159" s="1">
        <v>21</v>
      </c>
      <c r="G159" s="1">
        <v>43</v>
      </c>
      <c r="K159" s="1">
        <v>7</v>
      </c>
      <c r="U159" s="1">
        <v>3</v>
      </c>
      <c r="AU159" s="1">
        <v>26</v>
      </c>
      <c r="AV159" s="1" t="s">
        <v>321</v>
      </c>
      <c r="AW159" s="1" t="s">
        <v>929</v>
      </c>
      <c r="AX159" s="1" t="s">
        <v>161</v>
      </c>
      <c r="AY159" s="1" t="s">
        <v>156</v>
      </c>
      <c r="AZ159" s="1" t="s">
        <v>118</v>
      </c>
      <c r="BA159" s="1" t="s">
        <v>322</v>
      </c>
      <c r="BB159" s="1" t="s">
        <v>163</v>
      </c>
      <c r="BC159" s="1" t="s">
        <v>59</v>
      </c>
      <c r="BD159" s="5" t="s">
        <v>325</v>
      </c>
    </row>
    <row r="160" spans="1:56" ht="15.75" customHeight="1">
      <c r="A160" s="1">
        <f t="shared" si="0"/>
        <v>20032</v>
      </c>
      <c r="B160" s="1">
        <v>0</v>
      </c>
      <c r="C160" s="1">
        <v>1</v>
      </c>
      <c r="D160" s="1">
        <v>2</v>
      </c>
      <c r="E160" s="1">
        <f t="shared" si="1"/>
        <v>3</v>
      </c>
      <c r="F160" s="1">
        <v>21</v>
      </c>
      <c r="G160" s="1">
        <v>46</v>
      </c>
      <c r="K160" s="1">
        <v>7</v>
      </c>
      <c r="U160" s="1">
        <v>5</v>
      </c>
      <c r="AU160" s="1">
        <v>26</v>
      </c>
      <c r="AV160" s="1" t="s">
        <v>321</v>
      </c>
      <c r="AW160" s="1" t="s">
        <v>931</v>
      </c>
      <c r="AX160" s="1" t="s">
        <v>161</v>
      </c>
      <c r="AY160" s="1" t="s">
        <v>156</v>
      </c>
      <c r="AZ160" s="1" t="s">
        <v>183</v>
      </c>
      <c r="BA160" s="1" t="s">
        <v>322</v>
      </c>
      <c r="BB160" s="1" t="s">
        <v>163</v>
      </c>
      <c r="BC160" s="1" t="s">
        <v>59</v>
      </c>
      <c r="BD160" s="5" t="s">
        <v>326</v>
      </c>
    </row>
    <row r="161" spans="1:56" ht="15.75" customHeight="1">
      <c r="A161" s="1">
        <f t="shared" si="0"/>
        <v>20032</v>
      </c>
      <c r="B161" s="1">
        <v>0</v>
      </c>
      <c r="C161" s="1">
        <v>1</v>
      </c>
      <c r="D161" s="1">
        <v>2</v>
      </c>
      <c r="E161" s="1">
        <f t="shared" si="1"/>
        <v>4</v>
      </c>
      <c r="F161" s="1">
        <v>21</v>
      </c>
      <c r="G161" s="1">
        <v>49</v>
      </c>
      <c r="K161" s="1">
        <v>13</v>
      </c>
      <c r="U161" s="1">
        <v>5</v>
      </c>
      <c r="AU161" s="1">
        <v>30</v>
      </c>
      <c r="AV161" s="1" t="s">
        <v>321</v>
      </c>
      <c r="AW161" s="1" t="s">
        <v>933</v>
      </c>
      <c r="AX161" s="1" t="s">
        <v>161</v>
      </c>
      <c r="AY161" s="1" t="s">
        <v>166</v>
      </c>
      <c r="AZ161" s="1" t="s">
        <v>183</v>
      </c>
      <c r="BA161" s="1" t="s">
        <v>322</v>
      </c>
      <c r="BB161" s="1" t="s">
        <v>167</v>
      </c>
      <c r="BC161" s="1" t="s">
        <v>59</v>
      </c>
      <c r="BD161" s="5" t="s">
        <v>327</v>
      </c>
    </row>
    <row r="162" spans="1:56" ht="15.75" customHeight="1">
      <c r="A162" s="1">
        <f t="shared" si="0"/>
        <v>20033</v>
      </c>
      <c r="B162" s="1">
        <v>1</v>
      </c>
      <c r="C162" s="1">
        <v>1</v>
      </c>
      <c r="D162" s="1">
        <v>2</v>
      </c>
      <c r="E162" s="1">
        <f t="shared" si="1"/>
        <v>0</v>
      </c>
      <c r="H162" s="1">
        <v>15</v>
      </c>
      <c r="I162" s="1">
        <v>4.3999999999999997E-2</v>
      </c>
      <c r="K162" s="1">
        <v>7</v>
      </c>
      <c r="S162" s="1">
        <v>7</v>
      </c>
      <c r="T162" s="1"/>
      <c r="AU162" s="1">
        <v>22</v>
      </c>
      <c r="AV162" s="1" t="s">
        <v>328</v>
      </c>
      <c r="AW162" s="1" t="s">
        <v>201</v>
      </c>
      <c r="AX162" s="1" t="s">
        <v>178</v>
      </c>
      <c r="AY162" s="1" t="s">
        <v>217</v>
      </c>
      <c r="AZ162" s="1" t="s">
        <v>938</v>
      </c>
      <c r="BA162" s="1" t="s">
        <v>329</v>
      </c>
      <c r="BB162" s="1" t="s">
        <v>205</v>
      </c>
      <c r="BC162" s="1" t="s">
        <v>59</v>
      </c>
      <c r="BD162" s="4" t="s">
        <v>330</v>
      </c>
    </row>
    <row r="163" spans="1:56" ht="15.75" customHeight="1">
      <c r="A163" s="1">
        <f t="shared" si="0"/>
        <v>20033</v>
      </c>
      <c r="B163" s="1">
        <v>1</v>
      </c>
      <c r="C163" s="1">
        <v>1</v>
      </c>
      <c r="D163" s="1">
        <v>2</v>
      </c>
      <c r="E163" s="1">
        <f t="shared" si="1"/>
        <v>1</v>
      </c>
      <c r="H163" s="1">
        <v>30</v>
      </c>
      <c r="I163" s="1">
        <v>4.9000000000000002E-2</v>
      </c>
      <c r="K163" s="1">
        <v>7</v>
      </c>
      <c r="S163" s="1">
        <v>7</v>
      </c>
      <c r="T163" s="1"/>
      <c r="AU163" s="1">
        <v>22</v>
      </c>
      <c r="AV163" s="1" t="s">
        <v>328</v>
      </c>
      <c r="AW163" s="1" t="s">
        <v>207</v>
      </c>
      <c r="AX163" s="1" t="s">
        <v>182</v>
      </c>
      <c r="AY163" s="1" t="s">
        <v>217</v>
      </c>
      <c r="AZ163" s="1" t="s">
        <v>938</v>
      </c>
      <c r="BA163" s="1" t="s">
        <v>329</v>
      </c>
      <c r="BB163" s="1" t="s">
        <v>205</v>
      </c>
      <c r="BC163" s="1" t="s">
        <v>59</v>
      </c>
      <c r="BD163" s="4" t="s">
        <v>330</v>
      </c>
    </row>
    <row r="164" spans="1:56" ht="15.75" customHeight="1">
      <c r="A164" s="1">
        <f t="shared" si="0"/>
        <v>20033</v>
      </c>
      <c r="B164" s="1">
        <v>1</v>
      </c>
      <c r="C164" s="1">
        <v>1</v>
      </c>
      <c r="D164" s="1">
        <v>2</v>
      </c>
      <c r="E164" s="1">
        <f t="shared" si="1"/>
        <v>2</v>
      </c>
      <c r="H164" s="1">
        <v>30</v>
      </c>
      <c r="I164" s="1">
        <v>5.3999999999999999E-2</v>
      </c>
      <c r="K164" s="1">
        <v>7</v>
      </c>
      <c r="S164" s="1">
        <v>7</v>
      </c>
      <c r="T164" s="1"/>
      <c r="AU164" s="1">
        <v>26</v>
      </c>
      <c r="AV164" s="1" t="s">
        <v>328</v>
      </c>
      <c r="AW164" s="1" t="s">
        <v>208</v>
      </c>
      <c r="AX164" s="1" t="s">
        <v>182</v>
      </c>
      <c r="AY164" s="1" t="s">
        <v>217</v>
      </c>
      <c r="AZ164" s="1" t="s">
        <v>938</v>
      </c>
      <c r="BA164" s="1" t="s">
        <v>329</v>
      </c>
      <c r="BB164" s="1" t="s">
        <v>209</v>
      </c>
      <c r="BC164" s="1" t="s">
        <v>59</v>
      </c>
      <c r="BD164" s="4" t="s">
        <v>330</v>
      </c>
    </row>
    <row r="165" spans="1:56" ht="15.75" customHeight="1">
      <c r="A165" s="1">
        <f t="shared" si="0"/>
        <v>20033</v>
      </c>
      <c r="B165" s="1">
        <v>1</v>
      </c>
      <c r="C165" s="1">
        <v>1</v>
      </c>
      <c r="D165" s="1">
        <v>2</v>
      </c>
      <c r="E165" s="1">
        <f t="shared" si="1"/>
        <v>3</v>
      </c>
      <c r="H165" s="1">
        <v>30</v>
      </c>
      <c r="I165" s="1">
        <v>5.8999999999999997E-2</v>
      </c>
      <c r="K165" s="1">
        <v>7</v>
      </c>
      <c r="S165" s="1">
        <v>14</v>
      </c>
      <c r="T165" s="1"/>
      <c r="AU165" s="1">
        <v>26</v>
      </c>
      <c r="AV165" s="1" t="s">
        <v>328</v>
      </c>
      <c r="AW165" s="1" t="s">
        <v>210</v>
      </c>
      <c r="AX165" s="1" t="s">
        <v>182</v>
      </c>
      <c r="AY165" s="1" t="s">
        <v>217</v>
      </c>
      <c r="AZ165" s="1" t="s">
        <v>935</v>
      </c>
      <c r="BA165" s="1" t="s">
        <v>329</v>
      </c>
      <c r="BB165" s="1" t="s">
        <v>209</v>
      </c>
      <c r="BC165" s="1" t="s">
        <v>59</v>
      </c>
      <c r="BD165" s="4" t="s">
        <v>330</v>
      </c>
    </row>
    <row r="166" spans="1:56" ht="15.75" customHeight="1">
      <c r="A166" s="1">
        <f t="shared" si="0"/>
        <v>20033</v>
      </c>
      <c r="B166" s="1">
        <v>1</v>
      </c>
      <c r="C166" s="1">
        <v>1</v>
      </c>
      <c r="D166" s="1">
        <v>2</v>
      </c>
      <c r="E166" s="1">
        <f t="shared" si="1"/>
        <v>4</v>
      </c>
      <c r="H166" s="1">
        <v>30</v>
      </c>
      <c r="I166" s="1">
        <v>6.4000000000000001E-2</v>
      </c>
      <c r="K166" s="1">
        <v>13</v>
      </c>
      <c r="S166" s="1">
        <v>14</v>
      </c>
      <c r="T166" s="1"/>
      <c r="AU166" s="1">
        <v>30</v>
      </c>
      <c r="AV166" s="1" t="s">
        <v>328</v>
      </c>
      <c r="AW166" s="1" t="s">
        <v>212</v>
      </c>
      <c r="AX166" s="1" t="s">
        <v>182</v>
      </c>
      <c r="AY166" s="1" t="s">
        <v>221</v>
      </c>
      <c r="AZ166" s="1" t="s">
        <v>935</v>
      </c>
      <c r="BA166" s="1" t="s">
        <v>329</v>
      </c>
      <c r="BB166" s="1" t="s">
        <v>214</v>
      </c>
      <c r="BC166" s="1" t="s">
        <v>59</v>
      </c>
      <c r="BD166" s="4" t="s">
        <v>330</v>
      </c>
    </row>
    <row r="167" spans="1:56" ht="15.75" customHeight="1">
      <c r="A167" s="1">
        <f t="shared" si="0"/>
        <v>20034</v>
      </c>
      <c r="B167" s="1">
        <v>1</v>
      </c>
      <c r="C167" s="1">
        <v>2</v>
      </c>
      <c r="D167" s="1">
        <v>2</v>
      </c>
      <c r="E167" s="1">
        <f t="shared" si="1"/>
        <v>0</v>
      </c>
      <c r="F167" s="1">
        <v>10.5</v>
      </c>
      <c r="G167" s="1">
        <v>37</v>
      </c>
      <c r="K167" s="1">
        <v>7</v>
      </c>
      <c r="AT167" s="1">
        <v>9</v>
      </c>
      <c r="AU167" s="1">
        <v>22</v>
      </c>
      <c r="AV167" s="1" t="s">
        <v>331</v>
      </c>
      <c r="AW167" s="1" t="s">
        <v>928</v>
      </c>
      <c r="AX167" s="1" t="s">
        <v>216</v>
      </c>
      <c r="AY167" s="1" t="s">
        <v>217</v>
      </c>
      <c r="AZ167" s="1" t="s">
        <v>1097</v>
      </c>
      <c r="BA167" s="1" t="s">
        <v>332</v>
      </c>
      <c r="BB167" s="1" t="s">
        <v>205</v>
      </c>
      <c r="BC167" s="1" t="s">
        <v>59</v>
      </c>
      <c r="BD167" s="1" t="s">
        <v>333</v>
      </c>
    </row>
    <row r="168" spans="1:56" ht="15.75" customHeight="1">
      <c r="A168" s="1">
        <f t="shared" si="0"/>
        <v>20034</v>
      </c>
      <c r="B168" s="1">
        <v>1</v>
      </c>
      <c r="C168" s="1">
        <v>2</v>
      </c>
      <c r="D168" s="1">
        <v>2</v>
      </c>
      <c r="E168" s="1">
        <f t="shared" si="1"/>
        <v>1</v>
      </c>
      <c r="F168" s="1">
        <v>21</v>
      </c>
      <c r="G168" s="1">
        <v>40</v>
      </c>
      <c r="K168" s="1">
        <v>7</v>
      </c>
      <c r="AT168" s="1">
        <v>9</v>
      </c>
      <c r="AU168" s="1">
        <v>22</v>
      </c>
      <c r="AV168" s="1" t="s">
        <v>331</v>
      </c>
      <c r="AW168" s="1" t="s">
        <v>926</v>
      </c>
      <c r="AX168" s="1" t="s">
        <v>220</v>
      </c>
      <c r="AY168" s="1" t="s">
        <v>217</v>
      </c>
      <c r="AZ168" s="1" t="s">
        <v>1097</v>
      </c>
      <c r="BA168" s="1" t="s">
        <v>332</v>
      </c>
      <c r="BB168" s="1" t="s">
        <v>205</v>
      </c>
      <c r="BC168" s="1" t="s">
        <v>59</v>
      </c>
      <c r="BD168" s="1" t="s">
        <v>333</v>
      </c>
    </row>
    <row r="169" spans="1:56" ht="15.75" customHeight="1">
      <c r="A169" s="1">
        <f t="shared" si="0"/>
        <v>20034</v>
      </c>
      <c r="B169" s="1">
        <v>1</v>
      </c>
      <c r="C169" s="1">
        <v>2</v>
      </c>
      <c r="D169" s="1">
        <v>2</v>
      </c>
      <c r="E169" s="1">
        <f t="shared" si="1"/>
        <v>2</v>
      </c>
      <c r="F169" s="1">
        <v>21</v>
      </c>
      <c r="G169" s="1">
        <v>43</v>
      </c>
      <c r="K169" s="1">
        <v>7</v>
      </c>
      <c r="AT169" s="1">
        <v>9</v>
      </c>
      <c r="AU169" s="1">
        <v>26</v>
      </c>
      <c r="AV169" s="1" t="s">
        <v>331</v>
      </c>
      <c r="AW169" s="1" t="s">
        <v>930</v>
      </c>
      <c r="AX169" s="1" t="s">
        <v>220</v>
      </c>
      <c r="AY169" s="1" t="s">
        <v>217</v>
      </c>
      <c r="AZ169" s="1" t="s">
        <v>1097</v>
      </c>
      <c r="BA169" s="1" t="s">
        <v>332</v>
      </c>
      <c r="BB169" s="1" t="s">
        <v>209</v>
      </c>
      <c r="BC169" s="1" t="s">
        <v>59</v>
      </c>
      <c r="BD169" s="1" t="s">
        <v>333</v>
      </c>
    </row>
    <row r="170" spans="1:56" ht="15.75" customHeight="1">
      <c r="A170" s="1">
        <f t="shared" si="0"/>
        <v>20034</v>
      </c>
      <c r="B170" s="1">
        <v>1</v>
      </c>
      <c r="C170" s="1">
        <v>2</v>
      </c>
      <c r="D170" s="1">
        <v>2</v>
      </c>
      <c r="E170" s="1">
        <f t="shared" si="1"/>
        <v>3</v>
      </c>
      <c r="F170" s="1">
        <v>21</v>
      </c>
      <c r="G170" s="1">
        <v>46</v>
      </c>
      <c r="K170" s="1">
        <v>7</v>
      </c>
      <c r="AT170" s="1">
        <v>17</v>
      </c>
      <c r="AU170" s="1">
        <v>26</v>
      </c>
      <c r="AV170" s="1" t="s">
        <v>331</v>
      </c>
      <c r="AW170" s="1" t="s">
        <v>932</v>
      </c>
      <c r="AX170" s="1" t="s">
        <v>220</v>
      </c>
      <c r="AY170" s="1" t="s">
        <v>217</v>
      </c>
      <c r="AZ170" s="1" t="s">
        <v>1086</v>
      </c>
      <c r="BA170" s="1" t="s">
        <v>332</v>
      </c>
      <c r="BB170" s="1" t="s">
        <v>209</v>
      </c>
      <c r="BC170" s="1" t="s">
        <v>59</v>
      </c>
      <c r="BD170" s="1" t="s">
        <v>333</v>
      </c>
    </row>
    <row r="171" spans="1:56" ht="15.75" customHeight="1">
      <c r="A171" s="1">
        <f t="shared" si="0"/>
        <v>20034</v>
      </c>
      <c r="B171" s="1">
        <v>1</v>
      </c>
      <c r="C171" s="1">
        <v>2</v>
      </c>
      <c r="D171" s="1">
        <v>2</v>
      </c>
      <c r="E171" s="1">
        <f t="shared" si="1"/>
        <v>4</v>
      </c>
      <c r="F171" s="1">
        <v>21</v>
      </c>
      <c r="G171" s="1">
        <v>49</v>
      </c>
      <c r="K171" s="1">
        <v>13</v>
      </c>
      <c r="AT171" s="1">
        <v>17</v>
      </c>
      <c r="AU171" s="1">
        <v>30</v>
      </c>
      <c r="AV171" s="1" t="s">
        <v>331</v>
      </c>
      <c r="AW171" s="1" t="s">
        <v>934</v>
      </c>
      <c r="AX171" s="1" t="s">
        <v>220</v>
      </c>
      <c r="AY171" s="1" t="s">
        <v>221</v>
      </c>
      <c r="AZ171" s="1" t="s">
        <v>1086</v>
      </c>
      <c r="BA171" s="1" t="s">
        <v>332</v>
      </c>
      <c r="BB171" s="1" t="s">
        <v>214</v>
      </c>
      <c r="BC171" s="1" t="s">
        <v>59</v>
      </c>
      <c r="BD171" s="1" t="s">
        <v>333</v>
      </c>
    </row>
    <row r="172" spans="1:56" ht="15.75" customHeight="1">
      <c r="A172" s="1">
        <v>20035</v>
      </c>
      <c r="B172" s="1">
        <v>3</v>
      </c>
      <c r="C172" s="1">
        <v>0</v>
      </c>
      <c r="D172" s="1">
        <v>2</v>
      </c>
      <c r="E172" s="1">
        <f t="shared" si="1"/>
        <v>0</v>
      </c>
      <c r="F172" s="1">
        <v>5.2</v>
      </c>
      <c r="H172" s="1">
        <v>65</v>
      </c>
      <c r="AU172" s="1">
        <v>0</v>
      </c>
      <c r="AV172" s="1" t="s">
        <v>334</v>
      </c>
      <c r="AW172" s="1" t="s">
        <v>335</v>
      </c>
      <c r="AX172" s="1" t="s">
        <v>336</v>
      </c>
      <c r="AY172" s="1" t="s">
        <v>337</v>
      </c>
      <c r="AZ172" s="1" t="s">
        <v>240</v>
      </c>
      <c r="BA172" s="1" t="s">
        <v>338</v>
      </c>
      <c r="BB172" s="1" t="s">
        <v>339</v>
      </c>
      <c r="BC172" s="1" t="s">
        <v>59</v>
      </c>
      <c r="BD172" s="5" t="s">
        <v>340</v>
      </c>
    </row>
    <row r="173" spans="1:56" ht="15.75" customHeight="1">
      <c r="A173" s="1">
        <v>20035</v>
      </c>
      <c r="B173" s="1">
        <v>3</v>
      </c>
      <c r="C173" s="1">
        <v>0</v>
      </c>
      <c r="D173" s="1">
        <v>2</v>
      </c>
      <c r="E173" s="1">
        <f t="shared" si="1"/>
        <v>1</v>
      </c>
      <c r="F173" s="1">
        <v>10.5</v>
      </c>
      <c r="H173" s="1">
        <v>71</v>
      </c>
      <c r="AU173" s="1">
        <v>0</v>
      </c>
      <c r="AV173" s="1" t="s">
        <v>334</v>
      </c>
      <c r="AW173" s="1" t="s">
        <v>341</v>
      </c>
      <c r="AX173" s="1" t="s">
        <v>342</v>
      </c>
      <c r="AY173" s="1" t="s">
        <v>337</v>
      </c>
      <c r="AZ173" s="1" t="s">
        <v>240</v>
      </c>
      <c r="BA173" s="1" t="s">
        <v>338</v>
      </c>
      <c r="BB173" s="1" t="s">
        <v>339</v>
      </c>
      <c r="BC173" s="1" t="s">
        <v>59</v>
      </c>
      <c r="BD173" s="5" t="s">
        <v>340</v>
      </c>
    </row>
    <row r="174" spans="1:56" ht="15.75" customHeight="1">
      <c r="A174" s="1">
        <v>20035</v>
      </c>
      <c r="B174" s="1">
        <v>3</v>
      </c>
      <c r="C174" s="1">
        <v>0</v>
      </c>
      <c r="D174" s="1">
        <v>2</v>
      </c>
      <c r="E174" s="1">
        <f t="shared" si="1"/>
        <v>2</v>
      </c>
      <c r="F174" s="1">
        <v>10.5</v>
      </c>
      <c r="H174" s="1">
        <v>76</v>
      </c>
      <c r="AU174" s="1">
        <v>0</v>
      </c>
      <c r="AV174" s="1" t="s">
        <v>334</v>
      </c>
      <c r="AW174" s="1" t="s">
        <v>343</v>
      </c>
      <c r="AX174" s="1" t="s">
        <v>342</v>
      </c>
      <c r="AY174" s="1" t="s">
        <v>337</v>
      </c>
      <c r="AZ174" s="1" t="s">
        <v>240</v>
      </c>
      <c r="BA174" s="1" t="s">
        <v>338</v>
      </c>
      <c r="BB174" s="1" t="s">
        <v>344</v>
      </c>
      <c r="BC174" s="1" t="s">
        <v>59</v>
      </c>
      <c r="BD174" s="5" t="s">
        <v>340</v>
      </c>
    </row>
    <row r="175" spans="1:56" ht="15.75" customHeight="1">
      <c r="A175" s="1">
        <v>20035</v>
      </c>
      <c r="B175" s="1">
        <v>3</v>
      </c>
      <c r="C175" s="1">
        <v>0</v>
      </c>
      <c r="D175" s="1">
        <v>2</v>
      </c>
      <c r="E175" s="1">
        <f t="shared" si="1"/>
        <v>3</v>
      </c>
      <c r="F175" s="1">
        <v>10.5</v>
      </c>
      <c r="H175" s="1">
        <v>81</v>
      </c>
      <c r="AU175" s="1">
        <v>0</v>
      </c>
      <c r="AV175" s="1" t="s">
        <v>334</v>
      </c>
      <c r="AW175" s="1" t="s">
        <v>345</v>
      </c>
      <c r="AX175" s="1" t="s">
        <v>342</v>
      </c>
      <c r="AY175" s="1" t="s">
        <v>337</v>
      </c>
      <c r="AZ175" s="1" t="s">
        <v>245</v>
      </c>
      <c r="BA175" s="1" t="s">
        <v>338</v>
      </c>
      <c r="BB175" s="1" t="s">
        <v>344</v>
      </c>
      <c r="BC175" s="1" t="s">
        <v>59</v>
      </c>
      <c r="BD175" s="5" t="s">
        <v>340</v>
      </c>
    </row>
    <row r="176" spans="1:56" ht="15.75" customHeight="1">
      <c r="A176" s="1">
        <v>20035</v>
      </c>
      <c r="B176" s="1">
        <v>3</v>
      </c>
      <c r="C176" s="1">
        <v>0</v>
      </c>
      <c r="D176" s="1">
        <v>2</v>
      </c>
      <c r="E176" s="1">
        <f t="shared" si="1"/>
        <v>4</v>
      </c>
      <c r="F176" s="1">
        <v>10.5</v>
      </c>
      <c r="H176" s="1">
        <v>86</v>
      </c>
      <c r="AU176" s="1">
        <v>0</v>
      </c>
      <c r="AV176" s="1" t="s">
        <v>334</v>
      </c>
      <c r="AW176" s="1" t="s">
        <v>346</v>
      </c>
      <c r="AX176" s="1" t="s">
        <v>342</v>
      </c>
      <c r="AY176" s="1" t="s">
        <v>347</v>
      </c>
      <c r="AZ176" s="1" t="s">
        <v>245</v>
      </c>
      <c r="BA176" s="1" t="s">
        <v>338</v>
      </c>
      <c r="BB176" s="1" t="s">
        <v>348</v>
      </c>
      <c r="BC176" s="1" t="s">
        <v>59</v>
      </c>
      <c r="BD176" s="5" t="s">
        <v>340</v>
      </c>
    </row>
    <row r="177" spans="1:56" ht="15.75" customHeight="1">
      <c r="A177" s="1">
        <f t="shared" ref="A177:A246" si="2">A172+1</f>
        <v>20036</v>
      </c>
      <c r="B177" s="1">
        <v>1</v>
      </c>
      <c r="C177" s="1">
        <v>0</v>
      </c>
      <c r="D177" s="1">
        <v>2</v>
      </c>
      <c r="E177" s="1">
        <f t="shared" si="1"/>
        <v>0</v>
      </c>
      <c r="F177" s="1">
        <v>10.5</v>
      </c>
      <c r="G177" s="1">
        <v>37</v>
      </c>
      <c r="S177" s="1">
        <v>7</v>
      </c>
      <c r="T177" s="1"/>
      <c r="AU177" s="1">
        <v>22</v>
      </c>
      <c r="AV177" s="1" t="s">
        <v>349</v>
      </c>
      <c r="AW177" s="1" t="s">
        <v>928</v>
      </c>
      <c r="AX177" s="1" t="s">
        <v>216</v>
      </c>
      <c r="AY177" s="1" t="s">
        <v>350</v>
      </c>
      <c r="AZ177" s="1" t="s">
        <v>938</v>
      </c>
      <c r="BA177" s="1" t="s">
        <v>351</v>
      </c>
      <c r="BB177" s="1" t="s">
        <v>205</v>
      </c>
      <c r="BC177" s="1" t="s">
        <v>59</v>
      </c>
      <c r="BD177" s="1" t="s">
        <v>352</v>
      </c>
    </row>
    <row r="178" spans="1:56" ht="15.75" customHeight="1">
      <c r="A178" s="1">
        <f t="shared" si="2"/>
        <v>20036</v>
      </c>
      <c r="B178" s="1">
        <v>1</v>
      </c>
      <c r="C178" s="1">
        <v>0</v>
      </c>
      <c r="D178" s="1">
        <v>2</v>
      </c>
      <c r="E178" s="1">
        <f t="shared" si="1"/>
        <v>1</v>
      </c>
      <c r="F178" s="1">
        <v>21</v>
      </c>
      <c r="G178" s="1">
        <v>40</v>
      </c>
      <c r="S178" s="1">
        <v>7</v>
      </c>
      <c r="T178" s="1"/>
      <c r="AU178" s="1">
        <v>22</v>
      </c>
      <c r="AV178" s="1" t="s">
        <v>349</v>
      </c>
      <c r="AW178" s="1" t="s">
        <v>926</v>
      </c>
      <c r="AX178" s="1" t="s">
        <v>220</v>
      </c>
      <c r="AY178" s="1" t="s">
        <v>350</v>
      </c>
      <c r="AZ178" s="1" t="s">
        <v>938</v>
      </c>
      <c r="BA178" s="1" t="s">
        <v>351</v>
      </c>
      <c r="BB178" s="1" t="s">
        <v>205</v>
      </c>
      <c r="BC178" s="1" t="s">
        <v>59</v>
      </c>
      <c r="BD178" s="1" t="s">
        <v>352</v>
      </c>
    </row>
    <row r="179" spans="1:56" ht="15.75" customHeight="1">
      <c r="A179" s="1">
        <f t="shared" si="2"/>
        <v>20036</v>
      </c>
      <c r="B179" s="1">
        <v>1</v>
      </c>
      <c r="C179" s="1">
        <v>0</v>
      </c>
      <c r="D179" s="1">
        <v>2</v>
      </c>
      <c r="E179" s="1">
        <f t="shared" si="1"/>
        <v>2</v>
      </c>
      <c r="F179" s="1">
        <v>21</v>
      </c>
      <c r="G179" s="1">
        <v>43</v>
      </c>
      <c r="S179" s="1">
        <v>7</v>
      </c>
      <c r="T179" s="1"/>
      <c r="AU179" s="1">
        <v>26</v>
      </c>
      <c r="AV179" s="1" t="s">
        <v>349</v>
      </c>
      <c r="AW179" s="1" t="s">
        <v>930</v>
      </c>
      <c r="AX179" s="1" t="s">
        <v>220</v>
      </c>
      <c r="AY179" s="1" t="s">
        <v>350</v>
      </c>
      <c r="AZ179" s="1" t="s">
        <v>938</v>
      </c>
      <c r="BA179" s="1" t="s">
        <v>351</v>
      </c>
      <c r="BB179" s="1" t="s">
        <v>209</v>
      </c>
      <c r="BC179" s="1" t="s">
        <v>59</v>
      </c>
      <c r="BD179" s="1" t="s">
        <v>352</v>
      </c>
    </row>
    <row r="180" spans="1:56" ht="15.75" customHeight="1">
      <c r="A180" s="1">
        <f t="shared" si="2"/>
        <v>20036</v>
      </c>
      <c r="B180" s="1">
        <v>1</v>
      </c>
      <c r="C180" s="1">
        <v>0</v>
      </c>
      <c r="D180" s="1">
        <v>2</v>
      </c>
      <c r="E180" s="1">
        <f t="shared" si="1"/>
        <v>3</v>
      </c>
      <c r="F180" s="1">
        <v>21</v>
      </c>
      <c r="G180" s="1">
        <v>46</v>
      </c>
      <c r="S180" s="1">
        <v>14</v>
      </c>
      <c r="T180" s="1"/>
      <c r="AU180" s="1">
        <v>26</v>
      </c>
      <c r="AV180" s="1" t="s">
        <v>349</v>
      </c>
      <c r="AW180" s="1" t="s">
        <v>932</v>
      </c>
      <c r="AX180" s="1" t="s">
        <v>220</v>
      </c>
      <c r="AY180" s="1" t="s">
        <v>350</v>
      </c>
      <c r="AZ180" s="1" t="s">
        <v>935</v>
      </c>
      <c r="BA180" s="1" t="s">
        <v>351</v>
      </c>
      <c r="BB180" s="1" t="s">
        <v>209</v>
      </c>
      <c r="BC180" s="1" t="s">
        <v>59</v>
      </c>
      <c r="BD180" s="1" t="s">
        <v>352</v>
      </c>
    </row>
    <row r="181" spans="1:56" ht="15.75" customHeight="1">
      <c r="A181" s="1">
        <f t="shared" si="2"/>
        <v>20036</v>
      </c>
      <c r="B181" s="1">
        <v>1</v>
      </c>
      <c r="C181" s="1">
        <v>0</v>
      </c>
      <c r="D181" s="1">
        <v>2</v>
      </c>
      <c r="E181" s="1">
        <f t="shared" si="1"/>
        <v>4</v>
      </c>
      <c r="F181" s="1">
        <v>21</v>
      </c>
      <c r="G181" s="1">
        <v>49</v>
      </c>
      <c r="S181" s="1">
        <v>14</v>
      </c>
      <c r="T181" s="1"/>
      <c r="AU181" s="1">
        <v>30</v>
      </c>
      <c r="AV181" s="1" t="s">
        <v>349</v>
      </c>
      <c r="AW181" s="1" t="s">
        <v>934</v>
      </c>
      <c r="AX181" s="1" t="s">
        <v>220</v>
      </c>
      <c r="AY181" s="1" t="s">
        <v>353</v>
      </c>
      <c r="AZ181" s="1" t="s">
        <v>935</v>
      </c>
      <c r="BA181" s="1" t="s">
        <v>351</v>
      </c>
      <c r="BB181" s="1" t="s">
        <v>214</v>
      </c>
      <c r="BC181" s="1" t="s">
        <v>59</v>
      </c>
      <c r="BD181" s="1" t="s">
        <v>352</v>
      </c>
    </row>
    <row r="182" spans="1:56" ht="15.75" customHeight="1">
      <c r="A182" s="1">
        <f t="shared" si="2"/>
        <v>20037</v>
      </c>
      <c r="B182" s="1">
        <v>2</v>
      </c>
      <c r="C182" s="1">
        <v>0</v>
      </c>
      <c r="D182" s="1">
        <v>2</v>
      </c>
      <c r="E182" s="1">
        <f t="shared" si="1"/>
        <v>0</v>
      </c>
      <c r="F182" s="1">
        <v>10.5</v>
      </c>
      <c r="G182" s="1">
        <v>37</v>
      </c>
      <c r="Q182" s="1">
        <v>5</v>
      </c>
      <c r="R182" s="1"/>
      <c r="AU182" s="1">
        <v>22</v>
      </c>
      <c r="AV182" s="1" t="s">
        <v>354</v>
      </c>
      <c r="AW182" s="1" t="s">
        <v>916</v>
      </c>
      <c r="AX182" s="1" t="s">
        <v>140</v>
      </c>
      <c r="AY182" s="1" t="s">
        <v>350</v>
      </c>
      <c r="AZ182" s="1" t="s">
        <v>280</v>
      </c>
      <c r="BA182" s="1" t="s">
        <v>355</v>
      </c>
      <c r="BB182" s="1" t="s">
        <v>143</v>
      </c>
      <c r="BC182" s="1" t="s">
        <v>59</v>
      </c>
      <c r="BD182" s="1" t="s">
        <v>356</v>
      </c>
    </row>
    <row r="183" spans="1:56" ht="15.75" customHeight="1">
      <c r="A183" s="1">
        <f t="shared" si="2"/>
        <v>20037</v>
      </c>
      <c r="B183" s="1">
        <v>2</v>
      </c>
      <c r="C183" s="1">
        <v>0</v>
      </c>
      <c r="D183" s="1">
        <v>2</v>
      </c>
      <c r="E183" s="1">
        <f t="shared" si="1"/>
        <v>1</v>
      </c>
      <c r="F183" s="1">
        <v>21</v>
      </c>
      <c r="G183" s="1">
        <v>40</v>
      </c>
      <c r="Q183" s="1">
        <v>5</v>
      </c>
      <c r="R183" s="1"/>
      <c r="AU183" s="1">
        <v>22</v>
      </c>
      <c r="AV183" s="1" t="s">
        <v>354</v>
      </c>
      <c r="AW183" s="1" t="s">
        <v>917</v>
      </c>
      <c r="AX183" s="1" t="s">
        <v>146</v>
      </c>
      <c r="AY183" s="1" t="s">
        <v>350</v>
      </c>
      <c r="AZ183" s="1" t="s">
        <v>280</v>
      </c>
      <c r="BA183" s="1" t="s">
        <v>355</v>
      </c>
      <c r="BB183" s="1" t="s">
        <v>143</v>
      </c>
      <c r="BC183" s="1" t="s">
        <v>59</v>
      </c>
      <c r="BD183" s="1" t="s">
        <v>356</v>
      </c>
    </row>
    <row r="184" spans="1:56" ht="15.75" customHeight="1">
      <c r="A184" s="1">
        <f t="shared" si="2"/>
        <v>20037</v>
      </c>
      <c r="B184" s="1">
        <v>2</v>
      </c>
      <c r="C184" s="1">
        <v>0</v>
      </c>
      <c r="D184" s="1">
        <v>2</v>
      </c>
      <c r="E184" s="1">
        <f t="shared" si="1"/>
        <v>2</v>
      </c>
      <c r="F184" s="1">
        <v>21</v>
      </c>
      <c r="G184" s="1">
        <v>43</v>
      </c>
      <c r="Q184" s="1">
        <v>5</v>
      </c>
      <c r="R184" s="1"/>
      <c r="AU184" s="1">
        <v>26</v>
      </c>
      <c r="AV184" s="1" t="s">
        <v>354</v>
      </c>
      <c r="AW184" s="1" t="s">
        <v>918</v>
      </c>
      <c r="AX184" s="1" t="s">
        <v>146</v>
      </c>
      <c r="AY184" s="1" t="s">
        <v>350</v>
      </c>
      <c r="AZ184" s="1" t="s">
        <v>280</v>
      </c>
      <c r="BA184" s="1" t="s">
        <v>355</v>
      </c>
      <c r="BB184" s="1" t="s">
        <v>148</v>
      </c>
      <c r="BC184" s="1" t="s">
        <v>59</v>
      </c>
      <c r="BD184" s="1" t="s">
        <v>356</v>
      </c>
    </row>
    <row r="185" spans="1:56" ht="15.75" customHeight="1">
      <c r="A185" s="1">
        <f t="shared" si="2"/>
        <v>20037</v>
      </c>
      <c r="B185" s="1">
        <v>2</v>
      </c>
      <c r="C185" s="1">
        <v>0</v>
      </c>
      <c r="D185" s="1">
        <v>2</v>
      </c>
      <c r="E185" s="1">
        <f t="shared" si="1"/>
        <v>3</v>
      </c>
      <c r="F185" s="1">
        <v>21</v>
      </c>
      <c r="G185" s="1">
        <v>46</v>
      </c>
      <c r="Q185" s="1">
        <v>10</v>
      </c>
      <c r="R185" s="1"/>
      <c r="AU185" s="1">
        <v>26</v>
      </c>
      <c r="AV185" s="1" t="s">
        <v>354</v>
      </c>
      <c r="AW185" s="1" t="s">
        <v>919</v>
      </c>
      <c r="AX185" s="1" t="s">
        <v>146</v>
      </c>
      <c r="AY185" s="1" t="s">
        <v>350</v>
      </c>
      <c r="AZ185" s="1" t="s">
        <v>283</v>
      </c>
      <c r="BA185" s="1" t="s">
        <v>355</v>
      </c>
      <c r="BB185" s="1" t="s">
        <v>148</v>
      </c>
      <c r="BC185" s="1" t="s">
        <v>59</v>
      </c>
      <c r="BD185" s="1" t="s">
        <v>356</v>
      </c>
    </row>
    <row r="186" spans="1:56" ht="15.75" customHeight="1">
      <c r="A186" s="1">
        <f t="shared" si="2"/>
        <v>20037</v>
      </c>
      <c r="B186" s="1">
        <v>2</v>
      </c>
      <c r="C186" s="1">
        <v>0</v>
      </c>
      <c r="D186" s="1">
        <v>2</v>
      </c>
      <c r="E186" s="1">
        <f t="shared" si="1"/>
        <v>4</v>
      </c>
      <c r="F186" s="1">
        <v>21</v>
      </c>
      <c r="G186" s="1">
        <v>49</v>
      </c>
      <c r="Q186" s="1">
        <v>10</v>
      </c>
      <c r="R186" s="1"/>
      <c r="AU186" s="1">
        <v>30</v>
      </c>
      <c r="AV186" s="1" t="s">
        <v>354</v>
      </c>
      <c r="AW186" s="1" t="s">
        <v>920</v>
      </c>
      <c r="AX186" s="1" t="s">
        <v>146</v>
      </c>
      <c r="AY186" s="1" t="s">
        <v>353</v>
      </c>
      <c r="AZ186" s="1" t="s">
        <v>283</v>
      </c>
      <c r="BA186" s="1" t="s">
        <v>355</v>
      </c>
      <c r="BB186" s="1" t="s">
        <v>152</v>
      </c>
      <c r="BC186" s="1" t="s">
        <v>59</v>
      </c>
      <c r="BD186" s="1" t="s">
        <v>356</v>
      </c>
    </row>
    <row r="187" spans="1:56" ht="15.75" customHeight="1">
      <c r="A187" s="1">
        <f t="shared" si="2"/>
        <v>20038</v>
      </c>
      <c r="B187" s="1">
        <v>0</v>
      </c>
      <c r="C187" s="1">
        <v>0</v>
      </c>
      <c r="D187" s="1">
        <v>2</v>
      </c>
      <c r="E187" s="1">
        <f t="shared" si="1"/>
        <v>0</v>
      </c>
      <c r="F187" s="1">
        <v>10.5</v>
      </c>
      <c r="G187" s="1">
        <v>37</v>
      </c>
      <c r="Z187" s="1">
        <v>1</v>
      </c>
      <c r="AU187" s="1">
        <v>22</v>
      </c>
      <c r="AV187" s="1" t="s">
        <v>357</v>
      </c>
      <c r="AW187" s="1" t="s">
        <v>927</v>
      </c>
      <c r="AX187" s="1" t="s">
        <v>155</v>
      </c>
      <c r="AY187" s="1" t="s">
        <v>350</v>
      </c>
      <c r="AZ187" s="1" t="s">
        <v>358</v>
      </c>
      <c r="BA187" s="1" t="s">
        <v>359</v>
      </c>
      <c r="BB187" s="1" t="s">
        <v>158</v>
      </c>
      <c r="BC187" s="1" t="s">
        <v>59</v>
      </c>
      <c r="BD187" s="1" t="s">
        <v>360</v>
      </c>
    </row>
    <row r="188" spans="1:56" ht="15.75" customHeight="1">
      <c r="A188" s="1">
        <f t="shared" si="2"/>
        <v>20038</v>
      </c>
      <c r="B188" s="1">
        <v>0</v>
      </c>
      <c r="C188" s="1">
        <v>0</v>
      </c>
      <c r="D188" s="1">
        <v>2</v>
      </c>
      <c r="E188" s="1">
        <f t="shared" si="1"/>
        <v>1</v>
      </c>
      <c r="F188" s="1">
        <v>21</v>
      </c>
      <c r="G188" s="1">
        <v>40</v>
      </c>
      <c r="Z188" s="1">
        <v>1</v>
      </c>
      <c r="AU188" s="1">
        <v>22</v>
      </c>
      <c r="AV188" s="1" t="s">
        <v>357</v>
      </c>
      <c r="AW188" s="1" t="s">
        <v>925</v>
      </c>
      <c r="AX188" s="1" t="s">
        <v>161</v>
      </c>
      <c r="AY188" s="1" t="s">
        <v>350</v>
      </c>
      <c r="AZ188" s="1" t="s">
        <v>358</v>
      </c>
      <c r="BA188" s="1" t="s">
        <v>359</v>
      </c>
      <c r="BB188" s="1" t="s">
        <v>158</v>
      </c>
      <c r="BC188" s="1" t="s">
        <v>59</v>
      </c>
      <c r="BD188" s="1" t="s">
        <v>360</v>
      </c>
    </row>
    <row r="189" spans="1:56" ht="15.75" customHeight="1">
      <c r="A189" s="1">
        <f t="shared" si="2"/>
        <v>20038</v>
      </c>
      <c r="B189" s="1">
        <v>0</v>
      </c>
      <c r="C189" s="1">
        <v>0</v>
      </c>
      <c r="D189" s="1">
        <v>2</v>
      </c>
      <c r="E189" s="1">
        <f t="shared" si="1"/>
        <v>2</v>
      </c>
      <c r="F189" s="1">
        <v>21</v>
      </c>
      <c r="G189" s="1">
        <v>43</v>
      </c>
      <c r="Z189" s="1">
        <v>1</v>
      </c>
      <c r="AU189" s="1">
        <v>26</v>
      </c>
      <c r="AV189" s="1" t="s">
        <v>357</v>
      </c>
      <c r="AW189" s="1" t="s">
        <v>929</v>
      </c>
      <c r="AX189" s="1" t="s">
        <v>161</v>
      </c>
      <c r="AY189" s="1" t="s">
        <v>350</v>
      </c>
      <c r="AZ189" s="1" t="s">
        <v>358</v>
      </c>
      <c r="BA189" s="1" t="s">
        <v>359</v>
      </c>
      <c r="BB189" s="1" t="s">
        <v>163</v>
      </c>
      <c r="BC189" s="1" t="s">
        <v>59</v>
      </c>
      <c r="BD189" s="1" t="s">
        <v>360</v>
      </c>
    </row>
    <row r="190" spans="1:56" ht="15.75" customHeight="1">
      <c r="A190" s="1">
        <f t="shared" si="2"/>
        <v>20038</v>
      </c>
      <c r="B190" s="1">
        <v>0</v>
      </c>
      <c r="C190" s="1">
        <v>0</v>
      </c>
      <c r="D190" s="1">
        <v>2</v>
      </c>
      <c r="E190" s="1">
        <f t="shared" si="1"/>
        <v>3</v>
      </c>
      <c r="F190" s="1">
        <v>21</v>
      </c>
      <c r="G190" s="1">
        <v>46</v>
      </c>
      <c r="Z190" s="1">
        <v>2</v>
      </c>
      <c r="AU190" s="1">
        <v>26</v>
      </c>
      <c r="AV190" s="1" t="s">
        <v>357</v>
      </c>
      <c r="AW190" s="1" t="s">
        <v>931</v>
      </c>
      <c r="AX190" s="1" t="s">
        <v>161</v>
      </c>
      <c r="AY190" s="1" t="s">
        <v>350</v>
      </c>
      <c r="AZ190" s="1" t="s">
        <v>361</v>
      </c>
      <c r="BA190" s="1" t="s">
        <v>359</v>
      </c>
      <c r="BB190" s="1" t="s">
        <v>163</v>
      </c>
      <c r="BC190" s="1" t="s">
        <v>59</v>
      </c>
      <c r="BD190" s="1" t="s">
        <v>360</v>
      </c>
    </row>
    <row r="191" spans="1:56" ht="15.75" customHeight="1">
      <c r="A191" s="1">
        <f t="shared" si="2"/>
        <v>20038</v>
      </c>
      <c r="B191" s="1">
        <v>0</v>
      </c>
      <c r="C191" s="1">
        <v>0</v>
      </c>
      <c r="D191" s="1">
        <v>2</v>
      </c>
      <c r="E191" s="1">
        <f t="shared" si="1"/>
        <v>4</v>
      </c>
      <c r="F191" s="1">
        <v>21</v>
      </c>
      <c r="G191" s="1">
        <v>49</v>
      </c>
      <c r="Z191" s="1">
        <v>2</v>
      </c>
      <c r="AU191" s="1">
        <v>30</v>
      </c>
      <c r="AV191" s="1" t="s">
        <v>357</v>
      </c>
      <c r="AW191" s="1" t="s">
        <v>933</v>
      </c>
      <c r="AX191" s="1" t="s">
        <v>161</v>
      </c>
      <c r="AY191" s="1" t="s">
        <v>353</v>
      </c>
      <c r="AZ191" s="1" t="s">
        <v>361</v>
      </c>
      <c r="BA191" s="1" t="s">
        <v>359</v>
      </c>
      <c r="BB191" s="1" t="s">
        <v>167</v>
      </c>
      <c r="BC191" s="1" t="s">
        <v>59</v>
      </c>
      <c r="BD191" s="1" t="s">
        <v>360</v>
      </c>
    </row>
    <row r="192" spans="1:56" ht="15.75" customHeight="1">
      <c r="A192" s="1">
        <f t="shared" si="2"/>
        <v>20039</v>
      </c>
      <c r="B192" s="1">
        <v>2</v>
      </c>
      <c r="C192" s="1">
        <v>3</v>
      </c>
      <c r="D192" s="1">
        <v>2</v>
      </c>
      <c r="E192" s="1">
        <f t="shared" si="1"/>
        <v>0</v>
      </c>
      <c r="F192" s="1">
        <v>10.5</v>
      </c>
      <c r="I192" s="1">
        <v>4.3999999999999997E-2</v>
      </c>
      <c r="K192" s="1">
        <v>7</v>
      </c>
      <c r="Q192" s="1">
        <v>5</v>
      </c>
      <c r="R192" s="1"/>
      <c r="AU192" s="1">
        <v>22</v>
      </c>
      <c r="AV192" s="1" t="s">
        <v>362</v>
      </c>
      <c r="AW192" s="1" t="s">
        <v>139</v>
      </c>
      <c r="AX192" s="1" t="s">
        <v>140</v>
      </c>
      <c r="AY192" s="1" t="s">
        <v>141</v>
      </c>
      <c r="AZ192" s="1" t="s">
        <v>280</v>
      </c>
      <c r="BA192" s="1" t="s">
        <v>363</v>
      </c>
      <c r="BB192" s="1" t="s">
        <v>143</v>
      </c>
      <c r="BC192" s="1" t="s">
        <v>59</v>
      </c>
      <c r="BD192" s="1" t="s">
        <v>364</v>
      </c>
    </row>
    <row r="193" spans="1:56" ht="15.75" customHeight="1">
      <c r="A193" s="1">
        <f t="shared" si="2"/>
        <v>20039</v>
      </c>
      <c r="B193" s="1">
        <v>2</v>
      </c>
      <c r="C193" s="1">
        <v>3</v>
      </c>
      <c r="D193" s="1">
        <v>2</v>
      </c>
      <c r="E193" s="1">
        <f t="shared" si="1"/>
        <v>1</v>
      </c>
      <c r="F193" s="1">
        <v>21</v>
      </c>
      <c r="I193" s="1">
        <v>4.9000000000000002E-2</v>
      </c>
      <c r="K193" s="1">
        <v>7</v>
      </c>
      <c r="Q193" s="1">
        <v>5</v>
      </c>
      <c r="R193" s="1"/>
      <c r="AU193" s="1">
        <v>22</v>
      </c>
      <c r="AV193" s="1" t="s">
        <v>362</v>
      </c>
      <c r="AW193" s="1" t="s">
        <v>145</v>
      </c>
      <c r="AX193" s="1" t="s">
        <v>146</v>
      </c>
      <c r="AY193" s="1" t="s">
        <v>141</v>
      </c>
      <c r="AZ193" s="1" t="s">
        <v>280</v>
      </c>
      <c r="BA193" s="1" t="s">
        <v>363</v>
      </c>
      <c r="BB193" s="1" t="s">
        <v>143</v>
      </c>
      <c r="BC193" s="1" t="s">
        <v>59</v>
      </c>
      <c r="BD193" s="1" t="s">
        <v>364</v>
      </c>
    </row>
    <row r="194" spans="1:56" ht="15" customHeight="1">
      <c r="A194" s="1">
        <f t="shared" si="2"/>
        <v>20039</v>
      </c>
      <c r="B194" s="1">
        <v>2</v>
      </c>
      <c r="C194" s="1">
        <v>3</v>
      </c>
      <c r="D194" s="1">
        <v>2</v>
      </c>
      <c r="E194" s="1">
        <f t="shared" si="1"/>
        <v>2</v>
      </c>
      <c r="F194" s="1">
        <v>21</v>
      </c>
      <c r="I194" s="1">
        <v>5.3999999999999999E-2</v>
      </c>
      <c r="K194" s="1">
        <v>7</v>
      </c>
      <c r="Q194" s="1">
        <v>5</v>
      </c>
      <c r="R194" s="1"/>
      <c r="AU194" s="1">
        <v>26</v>
      </c>
      <c r="AV194" s="1" t="s">
        <v>362</v>
      </c>
      <c r="AW194" s="1" t="s">
        <v>147</v>
      </c>
      <c r="AX194" s="1" t="s">
        <v>146</v>
      </c>
      <c r="AY194" s="1" t="s">
        <v>141</v>
      </c>
      <c r="AZ194" s="1" t="s">
        <v>280</v>
      </c>
      <c r="BA194" s="1" t="s">
        <v>363</v>
      </c>
      <c r="BB194" s="1" t="s">
        <v>148</v>
      </c>
      <c r="BC194" s="1" t="s">
        <v>59</v>
      </c>
      <c r="BD194" s="1" t="s">
        <v>364</v>
      </c>
    </row>
    <row r="195" spans="1:56" ht="15.75" customHeight="1">
      <c r="A195" s="1">
        <f t="shared" si="2"/>
        <v>20039</v>
      </c>
      <c r="B195" s="1">
        <v>2</v>
      </c>
      <c r="C195" s="1">
        <v>3</v>
      </c>
      <c r="D195" s="1">
        <v>2</v>
      </c>
      <c r="E195" s="1">
        <f t="shared" si="1"/>
        <v>3</v>
      </c>
      <c r="F195" s="1">
        <v>21</v>
      </c>
      <c r="I195" s="1">
        <v>5.8999999999999997E-2</v>
      </c>
      <c r="K195" s="1">
        <v>7</v>
      </c>
      <c r="Q195" s="1">
        <v>10</v>
      </c>
      <c r="R195" s="1"/>
      <c r="AU195" s="1">
        <v>26</v>
      </c>
      <c r="AV195" s="1" t="s">
        <v>362</v>
      </c>
      <c r="AW195" s="1" t="s">
        <v>149</v>
      </c>
      <c r="AX195" s="1" t="s">
        <v>146</v>
      </c>
      <c r="AY195" s="1" t="s">
        <v>141</v>
      </c>
      <c r="AZ195" s="1" t="s">
        <v>283</v>
      </c>
      <c r="BA195" s="1" t="s">
        <v>363</v>
      </c>
      <c r="BB195" s="1" t="s">
        <v>148</v>
      </c>
      <c r="BC195" s="1" t="s">
        <v>59</v>
      </c>
      <c r="BD195" s="1" t="s">
        <v>364</v>
      </c>
    </row>
    <row r="196" spans="1:56" ht="15.75" customHeight="1">
      <c r="A196" s="1">
        <f t="shared" si="2"/>
        <v>20039</v>
      </c>
      <c r="B196" s="1">
        <v>2</v>
      </c>
      <c r="C196" s="1">
        <v>3</v>
      </c>
      <c r="D196" s="1">
        <v>2</v>
      </c>
      <c r="E196" s="1">
        <f t="shared" si="1"/>
        <v>4</v>
      </c>
      <c r="F196" s="1">
        <v>21</v>
      </c>
      <c r="I196" s="1">
        <v>6.4000000000000001E-2</v>
      </c>
      <c r="K196" s="1">
        <v>13</v>
      </c>
      <c r="Q196" s="1">
        <v>10</v>
      </c>
      <c r="R196" s="1"/>
      <c r="AU196" s="1">
        <v>30</v>
      </c>
      <c r="AV196" s="1" t="s">
        <v>362</v>
      </c>
      <c r="AW196" s="1" t="s">
        <v>150</v>
      </c>
      <c r="AX196" s="1" t="s">
        <v>146</v>
      </c>
      <c r="AY196" s="1" t="s">
        <v>151</v>
      </c>
      <c r="AZ196" s="1" t="s">
        <v>283</v>
      </c>
      <c r="BA196" s="1" t="s">
        <v>363</v>
      </c>
      <c r="BB196" s="1" t="s">
        <v>152</v>
      </c>
      <c r="BC196" s="1" t="s">
        <v>59</v>
      </c>
      <c r="BD196" s="1" t="s">
        <v>364</v>
      </c>
    </row>
    <row r="197" spans="1:56" ht="15.75" customHeight="1">
      <c r="A197" s="1">
        <f t="shared" si="2"/>
        <v>20040</v>
      </c>
      <c r="B197" s="1">
        <v>0</v>
      </c>
      <c r="C197" s="1">
        <v>2</v>
      </c>
      <c r="D197" s="1">
        <v>2</v>
      </c>
      <c r="E197" s="1">
        <f t="shared" si="1"/>
        <v>0</v>
      </c>
      <c r="I197" s="1">
        <v>4.3999999999999997E-2</v>
      </c>
      <c r="Q197" s="1">
        <v>5</v>
      </c>
      <c r="R197" s="1"/>
      <c r="U197" s="1">
        <v>3</v>
      </c>
      <c r="AU197" s="1">
        <v>22</v>
      </c>
      <c r="AV197" s="1" t="s">
        <v>365</v>
      </c>
      <c r="AW197" s="1" t="s">
        <v>154</v>
      </c>
      <c r="AX197" s="1" t="s">
        <v>169</v>
      </c>
      <c r="AY197" s="1" t="s">
        <v>242</v>
      </c>
      <c r="AZ197" s="1" t="s">
        <v>118</v>
      </c>
      <c r="BA197" s="1" t="s">
        <v>366</v>
      </c>
      <c r="BB197" s="1" t="s">
        <v>158</v>
      </c>
      <c r="BC197" s="1" t="s">
        <v>59</v>
      </c>
      <c r="BD197" s="1" t="s">
        <v>367</v>
      </c>
    </row>
    <row r="198" spans="1:56" ht="15.75" customHeight="1">
      <c r="A198" s="1">
        <f t="shared" si="2"/>
        <v>20040</v>
      </c>
      <c r="B198" s="1">
        <v>0</v>
      </c>
      <c r="C198" s="1">
        <v>2</v>
      </c>
      <c r="D198" s="1">
        <v>2</v>
      </c>
      <c r="E198" s="1">
        <f t="shared" si="1"/>
        <v>1</v>
      </c>
      <c r="I198" s="1">
        <v>4.9000000000000002E-2</v>
      </c>
      <c r="Q198" s="1">
        <v>5</v>
      </c>
      <c r="R198" s="1"/>
      <c r="U198" s="1">
        <v>3</v>
      </c>
      <c r="AU198" s="1">
        <v>22</v>
      </c>
      <c r="AV198" s="1" t="s">
        <v>365</v>
      </c>
      <c r="AW198" s="1" t="s">
        <v>160</v>
      </c>
      <c r="AX198" s="1" t="s">
        <v>174</v>
      </c>
      <c r="AY198" s="1" t="s">
        <v>242</v>
      </c>
      <c r="AZ198" s="1" t="s">
        <v>118</v>
      </c>
      <c r="BA198" s="1" t="s">
        <v>366</v>
      </c>
      <c r="BB198" s="1" t="s">
        <v>158</v>
      </c>
      <c r="BC198" s="1" t="s">
        <v>59</v>
      </c>
      <c r="BD198" s="1" t="s">
        <v>367</v>
      </c>
    </row>
    <row r="199" spans="1:56" ht="15.75" customHeight="1">
      <c r="A199" s="1">
        <f t="shared" si="2"/>
        <v>20040</v>
      </c>
      <c r="B199" s="1">
        <v>0</v>
      </c>
      <c r="C199" s="1">
        <v>2</v>
      </c>
      <c r="D199" s="1">
        <v>2</v>
      </c>
      <c r="E199" s="1">
        <f t="shared" si="1"/>
        <v>2</v>
      </c>
      <c r="I199" s="1">
        <v>5.3999999999999999E-2</v>
      </c>
      <c r="Q199" s="1">
        <v>5</v>
      </c>
      <c r="R199" s="1"/>
      <c r="U199" s="1">
        <v>3</v>
      </c>
      <c r="AU199" s="1">
        <v>26</v>
      </c>
      <c r="AV199" s="1" t="s">
        <v>365</v>
      </c>
      <c r="AW199" s="1" t="s">
        <v>162</v>
      </c>
      <c r="AX199" s="1" t="s">
        <v>174</v>
      </c>
      <c r="AY199" s="1" t="s">
        <v>242</v>
      </c>
      <c r="AZ199" s="1" t="s">
        <v>118</v>
      </c>
      <c r="BA199" s="1" t="s">
        <v>366</v>
      </c>
      <c r="BB199" s="1" t="s">
        <v>163</v>
      </c>
      <c r="BC199" s="1" t="s">
        <v>59</v>
      </c>
      <c r="BD199" s="1" t="s">
        <v>367</v>
      </c>
    </row>
    <row r="200" spans="1:56" ht="15.75" customHeight="1">
      <c r="A200" s="1">
        <f t="shared" si="2"/>
        <v>20040</v>
      </c>
      <c r="B200" s="1">
        <v>0</v>
      </c>
      <c r="C200" s="1">
        <v>2</v>
      </c>
      <c r="D200" s="1">
        <v>2</v>
      </c>
      <c r="E200" s="1">
        <f t="shared" si="1"/>
        <v>3</v>
      </c>
      <c r="I200" s="1">
        <v>5.8999999999999997E-2</v>
      </c>
      <c r="Q200" s="1">
        <v>5</v>
      </c>
      <c r="R200" s="1"/>
      <c r="U200" s="1">
        <v>5</v>
      </c>
      <c r="AU200" s="1">
        <v>26</v>
      </c>
      <c r="AV200" s="1" t="s">
        <v>365</v>
      </c>
      <c r="AW200" s="1" t="s">
        <v>164</v>
      </c>
      <c r="AX200" s="1" t="s">
        <v>174</v>
      </c>
      <c r="AY200" s="1" t="s">
        <v>242</v>
      </c>
      <c r="AZ200" s="1" t="s">
        <v>183</v>
      </c>
      <c r="BA200" s="1" t="s">
        <v>366</v>
      </c>
      <c r="BB200" s="1" t="s">
        <v>163</v>
      </c>
      <c r="BC200" s="1" t="s">
        <v>59</v>
      </c>
      <c r="BD200" s="1" t="s">
        <v>367</v>
      </c>
    </row>
    <row r="201" spans="1:56" ht="15.75" customHeight="1">
      <c r="A201" s="1">
        <f t="shared" si="2"/>
        <v>20040</v>
      </c>
      <c r="B201" s="1">
        <v>0</v>
      </c>
      <c r="C201" s="1">
        <v>2</v>
      </c>
      <c r="D201" s="1">
        <v>2</v>
      </c>
      <c r="E201" s="1">
        <f t="shared" si="1"/>
        <v>4</v>
      </c>
      <c r="I201" s="1">
        <v>6.4000000000000001E-2</v>
      </c>
      <c r="Q201" s="1">
        <v>10</v>
      </c>
      <c r="R201" s="1"/>
      <c r="U201" s="1">
        <v>5</v>
      </c>
      <c r="AU201" s="1">
        <v>30</v>
      </c>
      <c r="AV201" s="1" t="s">
        <v>365</v>
      </c>
      <c r="AW201" s="1" t="s">
        <v>165</v>
      </c>
      <c r="AX201" s="1" t="s">
        <v>174</v>
      </c>
      <c r="AY201" s="1" t="s">
        <v>246</v>
      </c>
      <c r="AZ201" s="1" t="s">
        <v>183</v>
      </c>
      <c r="BA201" s="1" t="s">
        <v>366</v>
      </c>
      <c r="BB201" s="1" t="s">
        <v>167</v>
      </c>
      <c r="BC201" s="1" t="s">
        <v>59</v>
      </c>
      <c r="BD201" s="1" t="s">
        <v>367</v>
      </c>
    </row>
    <row r="202" spans="1:56" ht="15.75" customHeight="1">
      <c r="A202" s="1">
        <f t="shared" si="2"/>
        <v>20041</v>
      </c>
      <c r="B202" s="1">
        <v>1</v>
      </c>
      <c r="C202" s="1">
        <v>2</v>
      </c>
      <c r="D202" s="1">
        <v>2</v>
      </c>
      <c r="E202" s="1">
        <f t="shared" si="1"/>
        <v>0</v>
      </c>
      <c r="G202" s="1">
        <v>37</v>
      </c>
      <c r="U202" s="1">
        <v>3</v>
      </c>
      <c r="Y202" s="1">
        <v>4</v>
      </c>
      <c r="AF202" s="1">
        <v>2</v>
      </c>
      <c r="AU202" s="1">
        <v>22</v>
      </c>
      <c r="AV202" s="1" t="s">
        <v>368</v>
      </c>
      <c r="AW202" s="1" t="s">
        <v>928</v>
      </c>
      <c r="AX202" s="1" t="s">
        <v>369</v>
      </c>
      <c r="AY202" s="1" t="s">
        <v>134</v>
      </c>
      <c r="AZ202" s="1" t="s">
        <v>370</v>
      </c>
      <c r="BA202" s="1" t="s">
        <v>371</v>
      </c>
      <c r="BB202" s="1" t="s">
        <v>205</v>
      </c>
      <c r="BC202" s="1" t="s">
        <v>59</v>
      </c>
      <c r="BD202" s="1" t="s">
        <v>372</v>
      </c>
    </row>
    <row r="203" spans="1:56" ht="15.75" customHeight="1">
      <c r="A203" s="1">
        <f t="shared" si="2"/>
        <v>20041</v>
      </c>
      <c r="B203" s="1">
        <v>1</v>
      </c>
      <c r="C203" s="1">
        <v>2</v>
      </c>
      <c r="D203" s="1">
        <v>2</v>
      </c>
      <c r="E203" s="1">
        <f t="shared" si="1"/>
        <v>1</v>
      </c>
      <c r="G203" s="1">
        <v>40</v>
      </c>
      <c r="U203" s="1">
        <v>3</v>
      </c>
      <c r="Y203" s="1">
        <v>6</v>
      </c>
      <c r="AF203" s="1">
        <v>2</v>
      </c>
      <c r="AU203" s="1">
        <v>22</v>
      </c>
      <c r="AV203" s="1" t="s">
        <v>368</v>
      </c>
      <c r="AW203" s="1" t="s">
        <v>926</v>
      </c>
      <c r="AX203" s="1" t="s">
        <v>373</v>
      </c>
      <c r="AY203" s="1" t="s">
        <v>134</v>
      </c>
      <c r="AZ203" s="1" t="s">
        <v>370</v>
      </c>
      <c r="BA203" s="1" t="s">
        <v>371</v>
      </c>
      <c r="BB203" s="1" t="s">
        <v>205</v>
      </c>
      <c r="BC203" s="1" t="s">
        <v>59</v>
      </c>
      <c r="BD203" s="1" t="s">
        <v>372</v>
      </c>
    </row>
    <row r="204" spans="1:56" ht="15.75" customHeight="1">
      <c r="A204" s="1">
        <f t="shared" si="2"/>
        <v>20041</v>
      </c>
      <c r="B204" s="1">
        <v>1</v>
      </c>
      <c r="C204" s="1">
        <v>2</v>
      </c>
      <c r="D204" s="1">
        <v>2</v>
      </c>
      <c r="E204" s="1">
        <f t="shared" si="1"/>
        <v>2</v>
      </c>
      <c r="G204" s="1">
        <v>43</v>
      </c>
      <c r="U204" s="1">
        <v>3</v>
      </c>
      <c r="Y204" s="1">
        <v>6</v>
      </c>
      <c r="AF204" s="1">
        <v>2</v>
      </c>
      <c r="AU204" s="1">
        <v>26</v>
      </c>
      <c r="AV204" s="1" t="s">
        <v>368</v>
      </c>
      <c r="AW204" s="1" t="s">
        <v>930</v>
      </c>
      <c r="AX204" s="1" t="s">
        <v>373</v>
      </c>
      <c r="AY204" s="1" t="s">
        <v>134</v>
      </c>
      <c r="AZ204" s="1" t="s">
        <v>370</v>
      </c>
      <c r="BA204" s="1" t="s">
        <v>371</v>
      </c>
      <c r="BB204" s="1" t="s">
        <v>209</v>
      </c>
      <c r="BC204" s="1" t="s">
        <v>59</v>
      </c>
      <c r="BD204" s="1" t="s">
        <v>372</v>
      </c>
    </row>
    <row r="205" spans="1:56" ht="15.75" customHeight="1">
      <c r="A205" s="1">
        <f t="shared" si="2"/>
        <v>20041</v>
      </c>
      <c r="B205" s="1">
        <v>1</v>
      </c>
      <c r="C205" s="1">
        <v>2</v>
      </c>
      <c r="D205" s="1">
        <v>2</v>
      </c>
      <c r="E205" s="1">
        <f t="shared" si="1"/>
        <v>3</v>
      </c>
      <c r="G205" s="1">
        <v>46</v>
      </c>
      <c r="U205" s="1">
        <v>3</v>
      </c>
      <c r="Y205" s="1">
        <v>6</v>
      </c>
      <c r="AF205" s="1">
        <v>3</v>
      </c>
      <c r="AU205" s="1">
        <v>26</v>
      </c>
      <c r="AV205" s="1" t="s">
        <v>368</v>
      </c>
      <c r="AW205" s="1" t="s">
        <v>932</v>
      </c>
      <c r="AX205" s="1" t="s">
        <v>373</v>
      </c>
      <c r="AY205" s="1" t="s">
        <v>134</v>
      </c>
      <c r="AZ205" s="1" t="s">
        <v>374</v>
      </c>
      <c r="BA205" s="1" t="s">
        <v>371</v>
      </c>
      <c r="BB205" s="1" t="s">
        <v>209</v>
      </c>
      <c r="BC205" s="1" t="s">
        <v>59</v>
      </c>
      <c r="BD205" s="1" t="s">
        <v>372</v>
      </c>
    </row>
    <row r="206" spans="1:56" ht="15.75" customHeight="1">
      <c r="A206" s="1">
        <f t="shared" si="2"/>
        <v>20041</v>
      </c>
      <c r="B206" s="1">
        <v>1</v>
      </c>
      <c r="C206" s="1">
        <v>2</v>
      </c>
      <c r="D206" s="1">
        <v>2</v>
      </c>
      <c r="E206" s="1">
        <f t="shared" si="1"/>
        <v>4</v>
      </c>
      <c r="G206" s="1">
        <v>49</v>
      </c>
      <c r="U206" s="1">
        <v>5</v>
      </c>
      <c r="Y206" s="1">
        <v>6</v>
      </c>
      <c r="AF206" s="1">
        <v>3</v>
      </c>
      <c r="AU206" s="1">
        <v>30</v>
      </c>
      <c r="AV206" s="1" t="s">
        <v>368</v>
      </c>
      <c r="AW206" s="1" t="s">
        <v>934</v>
      </c>
      <c r="AX206" s="1" t="s">
        <v>373</v>
      </c>
      <c r="AY206" s="1" t="s">
        <v>226</v>
      </c>
      <c r="AZ206" s="1" t="s">
        <v>374</v>
      </c>
      <c r="BA206" s="1" t="s">
        <v>371</v>
      </c>
      <c r="BB206" s="1" t="s">
        <v>214</v>
      </c>
      <c r="BC206" s="1" t="s">
        <v>59</v>
      </c>
      <c r="BD206" s="1" t="s">
        <v>372</v>
      </c>
    </row>
    <row r="207" spans="1:56" ht="15.75" customHeight="1">
      <c r="A207" s="1">
        <f t="shared" si="2"/>
        <v>20042</v>
      </c>
      <c r="B207" s="1">
        <v>2</v>
      </c>
      <c r="C207" s="1">
        <v>3</v>
      </c>
      <c r="D207" s="1">
        <v>2</v>
      </c>
      <c r="E207" s="1">
        <f t="shared" si="1"/>
        <v>0</v>
      </c>
      <c r="G207" s="1">
        <v>37</v>
      </c>
      <c r="Q207" s="1">
        <v>5</v>
      </c>
      <c r="R207" s="1"/>
      <c r="W207" s="1">
        <v>2</v>
      </c>
      <c r="AL207" s="1">
        <v>4</v>
      </c>
      <c r="AU207" s="1">
        <v>22</v>
      </c>
      <c r="AV207" s="1" t="s">
        <v>375</v>
      </c>
      <c r="AW207" s="1" t="s">
        <v>916</v>
      </c>
      <c r="AX207" s="1" t="s">
        <v>249</v>
      </c>
      <c r="AY207" s="1" t="s">
        <v>280</v>
      </c>
      <c r="AZ207" s="1" t="s">
        <v>376</v>
      </c>
      <c r="BA207" s="1" t="s">
        <v>377</v>
      </c>
      <c r="BB207" s="1" t="s">
        <v>143</v>
      </c>
      <c r="BC207" s="1" t="s">
        <v>59</v>
      </c>
      <c r="BD207" s="1" t="s">
        <v>378</v>
      </c>
    </row>
    <row r="208" spans="1:56" ht="15.75" customHeight="1">
      <c r="A208" s="1">
        <f t="shared" si="2"/>
        <v>20042</v>
      </c>
      <c r="B208" s="1">
        <v>2</v>
      </c>
      <c r="C208" s="1">
        <v>3</v>
      </c>
      <c r="D208" s="1">
        <v>2</v>
      </c>
      <c r="E208" s="1">
        <f t="shared" si="1"/>
        <v>1</v>
      </c>
      <c r="G208" s="1">
        <v>40</v>
      </c>
      <c r="Q208" s="1">
        <v>5</v>
      </c>
      <c r="R208" s="1"/>
      <c r="W208" s="1">
        <v>3</v>
      </c>
      <c r="AL208" s="1">
        <v>4</v>
      </c>
      <c r="AU208" s="1">
        <v>22</v>
      </c>
      <c r="AV208" s="1" t="s">
        <v>375</v>
      </c>
      <c r="AW208" s="1" t="s">
        <v>917</v>
      </c>
      <c r="AX208" s="1" t="s">
        <v>254</v>
      </c>
      <c r="AY208" s="1" t="s">
        <v>280</v>
      </c>
      <c r="AZ208" s="1" t="s">
        <v>376</v>
      </c>
      <c r="BA208" s="1" t="s">
        <v>377</v>
      </c>
      <c r="BB208" s="1" t="s">
        <v>143</v>
      </c>
      <c r="BC208" s="1" t="s">
        <v>59</v>
      </c>
      <c r="BD208" s="1" t="s">
        <v>378</v>
      </c>
    </row>
    <row r="209" spans="1:56" ht="15.75" customHeight="1">
      <c r="A209" s="1">
        <f t="shared" si="2"/>
        <v>20042</v>
      </c>
      <c r="B209" s="1">
        <v>2</v>
      </c>
      <c r="C209" s="1">
        <v>3</v>
      </c>
      <c r="D209" s="1">
        <v>2</v>
      </c>
      <c r="E209" s="1">
        <f t="shared" si="1"/>
        <v>2</v>
      </c>
      <c r="G209" s="1">
        <v>43</v>
      </c>
      <c r="Q209" s="1">
        <v>5</v>
      </c>
      <c r="R209" s="1"/>
      <c r="W209" s="1">
        <v>3</v>
      </c>
      <c r="AL209" s="1">
        <v>4</v>
      </c>
      <c r="AU209" s="1">
        <v>26</v>
      </c>
      <c r="AV209" s="1" t="s">
        <v>375</v>
      </c>
      <c r="AW209" s="1" t="s">
        <v>918</v>
      </c>
      <c r="AX209" s="1" t="s">
        <v>254</v>
      </c>
      <c r="AY209" s="1" t="s">
        <v>280</v>
      </c>
      <c r="AZ209" s="1" t="s">
        <v>376</v>
      </c>
      <c r="BA209" s="1" t="s">
        <v>377</v>
      </c>
      <c r="BB209" s="1" t="s">
        <v>148</v>
      </c>
      <c r="BC209" s="1" t="s">
        <v>59</v>
      </c>
      <c r="BD209" s="1" t="s">
        <v>378</v>
      </c>
    </row>
    <row r="210" spans="1:56" ht="15.75" customHeight="1">
      <c r="A210" s="1">
        <f t="shared" si="2"/>
        <v>20042</v>
      </c>
      <c r="B210" s="1">
        <v>2</v>
      </c>
      <c r="C210" s="1">
        <v>3</v>
      </c>
      <c r="D210" s="1">
        <v>2</v>
      </c>
      <c r="E210" s="1">
        <f t="shared" si="1"/>
        <v>3</v>
      </c>
      <c r="G210" s="1">
        <v>46</v>
      </c>
      <c r="Q210" s="1">
        <v>5</v>
      </c>
      <c r="R210" s="1"/>
      <c r="W210" s="1">
        <v>3</v>
      </c>
      <c r="AL210" s="1">
        <v>8</v>
      </c>
      <c r="AU210" s="1">
        <v>26</v>
      </c>
      <c r="AV210" s="1" t="s">
        <v>375</v>
      </c>
      <c r="AW210" s="1" t="s">
        <v>919</v>
      </c>
      <c r="AX210" s="1" t="s">
        <v>254</v>
      </c>
      <c r="AY210" s="1" t="s">
        <v>280</v>
      </c>
      <c r="AZ210" s="1" t="s">
        <v>379</v>
      </c>
      <c r="BA210" s="1" t="s">
        <v>377</v>
      </c>
      <c r="BB210" s="1" t="s">
        <v>148</v>
      </c>
      <c r="BC210" s="1" t="s">
        <v>59</v>
      </c>
      <c r="BD210" s="1" t="s">
        <v>378</v>
      </c>
    </row>
    <row r="211" spans="1:56" ht="15.75" customHeight="1">
      <c r="A211" s="1">
        <f t="shared" si="2"/>
        <v>20042</v>
      </c>
      <c r="B211" s="1">
        <v>2</v>
      </c>
      <c r="C211" s="1">
        <v>3</v>
      </c>
      <c r="D211" s="1">
        <v>2</v>
      </c>
      <c r="E211" s="1">
        <f t="shared" si="1"/>
        <v>4</v>
      </c>
      <c r="G211" s="1">
        <v>49</v>
      </c>
      <c r="Q211" s="1">
        <v>10</v>
      </c>
      <c r="R211" s="1"/>
      <c r="W211" s="1">
        <v>3</v>
      </c>
      <c r="AL211" s="1">
        <v>8</v>
      </c>
      <c r="AU211" s="1">
        <v>30</v>
      </c>
      <c r="AV211" s="1" t="s">
        <v>375</v>
      </c>
      <c r="AW211" s="1" t="s">
        <v>920</v>
      </c>
      <c r="AX211" s="1" t="s">
        <v>254</v>
      </c>
      <c r="AY211" s="1" t="s">
        <v>283</v>
      </c>
      <c r="AZ211" s="1" t="s">
        <v>379</v>
      </c>
      <c r="BA211" s="1" t="s">
        <v>377</v>
      </c>
      <c r="BB211" s="1" t="s">
        <v>152</v>
      </c>
      <c r="BC211" s="1" t="s">
        <v>59</v>
      </c>
      <c r="BD211" s="1" t="s">
        <v>378</v>
      </c>
    </row>
    <row r="212" spans="1:56" ht="15.75" customHeight="1">
      <c r="A212" s="1">
        <f t="shared" si="2"/>
        <v>20043</v>
      </c>
      <c r="B212" s="1">
        <v>1</v>
      </c>
      <c r="C212" s="1">
        <v>1</v>
      </c>
      <c r="D212" s="1">
        <v>2</v>
      </c>
      <c r="E212" s="1">
        <f t="shared" si="1"/>
        <v>0</v>
      </c>
      <c r="G212" s="1">
        <v>37</v>
      </c>
      <c r="K212" s="1">
        <v>7</v>
      </c>
      <c r="Q212" s="1">
        <v>5</v>
      </c>
      <c r="R212" s="1"/>
      <c r="Y212" s="1">
        <v>4</v>
      </c>
      <c r="AU212" s="1">
        <v>22</v>
      </c>
      <c r="AV212" s="1" t="s">
        <v>380</v>
      </c>
      <c r="AW212" s="1" t="s">
        <v>928</v>
      </c>
      <c r="AX212" s="1" t="s">
        <v>298</v>
      </c>
      <c r="AY212" s="1" t="s">
        <v>217</v>
      </c>
      <c r="AZ212" s="1" t="s">
        <v>369</v>
      </c>
      <c r="BA212" s="1" t="s">
        <v>381</v>
      </c>
      <c r="BB212" s="1" t="s">
        <v>205</v>
      </c>
      <c r="BC212" s="1" t="s">
        <v>59</v>
      </c>
      <c r="BD212" s="1" t="s">
        <v>382</v>
      </c>
    </row>
    <row r="213" spans="1:56" ht="15.75" customHeight="1">
      <c r="A213" s="1">
        <f t="shared" si="2"/>
        <v>20043</v>
      </c>
      <c r="B213" s="1">
        <v>1</v>
      </c>
      <c r="C213" s="1">
        <v>1</v>
      </c>
      <c r="D213" s="1">
        <v>2</v>
      </c>
      <c r="E213" s="1">
        <f t="shared" si="1"/>
        <v>1</v>
      </c>
      <c r="G213" s="1">
        <v>40</v>
      </c>
      <c r="K213" s="1">
        <v>7</v>
      </c>
      <c r="Q213" s="1">
        <v>10</v>
      </c>
      <c r="R213" s="1"/>
      <c r="Y213" s="1">
        <v>4</v>
      </c>
      <c r="AU213" s="1">
        <v>22</v>
      </c>
      <c r="AV213" s="1" t="s">
        <v>380</v>
      </c>
      <c r="AW213" s="1" t="s">
        <v>926</v>
      </c>
      <c r="AX213" s="1" t="s">
        <v>301</v>
      </c>
      <c r="AY213" s="1" t="s">
        <v>217</v>
      </c>
      <c r="AZ213" s="1" t="s">
        <v>369</v>
      </c>
      <c r="BA213" s="1" t="s">
        <v>381</v>
      </c>
      <c r="BB213" s="1" t="s">
        <v>205</v>
      </c>
      <c r="BC213" s="1" t="s">
        <v>59</v>
      </c>
      <c r="BD213" s="1" t="s">
        <v>382</v>
      </c>
    </row>
    <row r="214" spans="1:56" ht="15.75" customHeight="1">
      <c r="A214" s="1">
        <f t="shared" si="2"/>
        <v>20043</v>
      </c>
      <c r="B214" s="1">
        <v>1</v>
      </c>
      <c r="C214" s="1">
        <v>1</v>
      </c>
      <c r="D214" s="1">
        <v>2</v>
      </c>
      <c r="E214" s="1">
        <f t="shared" si="1"/>
        <v>2</v>
      </c>
      <c r="G214" s="1">
        <v>43</v>
      </c>
      <c r="K214" s="1">
        <v>7</v>
      </c>
      <c r="Q214" s="1">
        <v>10</v>
      </c>
      <c r="R214" s="1"/>
      <c r="Y214" s="1">
        <v>4</v>
      </c>
      <c r="AU214" s="1">
        <v>26</v>
      </c>
      <c r="AV214" s="1" t="s">
        <v>380</v>
      </c>
      <c r="AW214" s="1" t="s">
        <v>930</v>
      </c>
      <c r="AX214" s="1" t="s">
        <v>301</v>
      </c>
      <c r="AY214" s="1" t="s">
        <v>217</v>
      </c>
      <c r="AZ214" s="1" t="s">
        <v>369</v>
      </c>
      <c r="BA214" s="1" t="s">
        <v>381</v>
      </c>
      <c r="BB214" s="1" t="s">
        <v>209</v>
      </c>
      <c r="BC214" s="1" t="s">
        <v>59</v>
      </c>
      <c r="BD214" s="1" t="s">
        <v>382</v>
      </c>
    </row>
    <row r="215" spans="1:56" ht="15.75" customHeight="1">
      <c r="A215" s="1">
        <f t="shared" si="2"/>
        <v>20043</v>
      </c>
      <c r="B215" s="1">
        <v>1</v>
      </c>
      <c r="C215" s="1">
        <v>1</v>
      </c>
      <c r="D215" s="1">
        <v>2</v>
      </c>
      <c r="E215" s="1">
        <f t="shared" si="1"/>
        <v>3</v>
      </c>
      <c r="G215" s="1">
        <v>46</v>
      </c>
      <c r="K215" s="1">
        <v>7</v>
      </c>
      <c r="Q215" s="1">
        <v>10</v>
      </c>
      <c r="R215" s="1"/>
      <c r="Y215" s="1">
        <v>6</v>
      </c>
      <c r="AU215" s="1">
        <v>26</v>
      </c>
      <c r="AV215" s="1" t="s">
        <v>380</v>
      </c>
      <c r="AW215" s="1" t="s">
        <v>932</v>
      </c>
      <c r="AX215" s="1" t="s">
        <v>301</v>
      </c>
      <c r="AY215" s="1" t="s">
        <v>217</v>
      </c>
      <c r="AZ215" s="1" t="s">
        <v>373</v>
      </c>
      <c r="BA215" s="1" t="s">
        <v>381</v>
      </c>
      <c r="BB215" s="1" t="s">
        <v>209</v>
      </c>
      <c r="BC215" s="1" t="s">
        <v>59</v>
      </c>
      <c r="BD215" s="1" t="s">
        <v>382</v>
      </c>
    </row>
    <row r="216" spans="1:56" ht="15.75" customHeight="1">
      <c r="A216" s="1">
        <f t="shared" si="2"/>
        <v>20043</v>
      </c>
      <c r="B216" s="1">
        <v>1</v>
      </c>
      <c r="C216" s="1">
        <v>1</v>
      </c>
      <c r="D216" s="1">
        <v>2</v>
      </c>
      <c r="E216" s="1">
        <f t="shared" si="1"/>
        <v>4</v>
      </c>
      <c r="G216" s="1">
        <v>49</v>
      </c>
      <c r="K216" s="1">
        <v>13</v>
      </c>
      <c r="Q216" s="1">
        <v>10</v>
      </c>
      <c r="R216" s="1"/>
      <c r="Y216" s="1">
        <v>6</v>
      </c>
      <c r="AU216" s="1">
        <v>30</v>
      </c>
      <c r="AV216" s="1" t="s">
        <v>380</v>
      </c>
      <c r="AW216" s="1" t="s">
        <v>934</v>
      </c>
      <c r="AX216" s="1" t="s">
        <v>301</v>
      </c>
      <c r="AY216" s="1" t="s">
        <v>221</v>
      </c>
      <c r="AZ216" s="1" t="s">
        <v>373</v>
      </c>
      <c r="BA216" s="1" t="s">
        <v>381</v>
      </c>
      <c r="BB216" s="1" t="s">
        <v>214</v>
      </c>
      <c r="BC216" s="1" t="s">
        <v>59</v>
      </c>
      <c r="BD216" s="1" t="s">
        <v>382</v>
      </c>
    </row>
    <row r="217" spans="1:56" ht="15.75" customHeight="1">
      <c r="A217" s="1">
        <f t="shared" si="2"/>
        <v>20044</v>
      </c>
      <c r="B217" s="1">
        <v>2</v>
      </c>
      <c r="C217" s="1">
        <v>3</v>
      </c>
      <c r="D217" s="1">
        <v>2</v>
      </c>
      <c r="E217" s="1">
        <f t="shared" si="1"/>
        <v>0</v>
      </c>
      <c r="G217" s="1">
        <v>37</v>
      </c>
      <c r="U217" s="1">
        <v>3</v>
      </c>
      <c r="Y217" s="1">
        <v>4</v>
      </c>
      <c r="AT217" s="1">
        <v>9</v>
      </c>
      <c r="AU217" s="1">
        <v>22</v>
      </c>
      <c r="AV217" s="1" t="s">
        <v>383</v>
      </c>
      <c r="AW217" s="1" t="s">
        <v>916</v>
      </c>
      <c r="AX217" s="1" t="s">
        <v>369</v>
      </c>
      <c r="AY217" s="1" t="s">
        <v>134</v>
      </c>
      <c r="AZ217" s="1" t="s">
        <v>1097</v>
      </c>
      <c r="BA217" s="1" t="s">
        <v>384</v>
      </c>
      <c r="BB217" s="1" t="s">
        <v>143</v>
      </c>
      <c r="BC217" s="1" t="s">
        <v>59</v>
      </c>
      <c r="BD217" s="1" t="s">
        <v>385</v>
      </c>
    </row>
    <row r="218" spans="1:56" ht="15.75" customHeight="1">
      <c r="A218" s="1">
        <f t="shared" si="2"/>
        <v>20044</v>
      </c>
      <c r="B218" s="1">
        <v>2</v>
      </c>
      <c r="C218" s="1">
        <v>3</v>
      </c>
      <c r="D218" s="1">
        <v>2</v>
      </c>
      <c r="E218" s="1">
        <f t="shared" si="1"/>
        <v>1</v>
      </c>
      <c r="G218" s="1">
        <v>40</v>
      </c>
      <c r="U218" s="1">
        <v>3</v>
      </c>
      <c r="Y218" s="1">
        <v>6</v>
      </c>
      <c r="AT218" s="1">
        <v>9</v>
      </c>
      <c r="AU218" s="1">
        <v>22</v>
      </c>
      <c r="AV218" s="1" t="s">
        <v>383</v>
      </c>
      <c r="AW218" s="1" t="s">
        <v>917</v>
      </c>
      <c r="AX218" s="1" t="s">
        <v>373</v>
      </c>
      <c r="AY218" s="1" t="s">
        <v>134</v>
      </c>
      <c r="AZ218" s="1" t="s">
        <v>1097</v>
      </c>
      <c r="BA218" s="1" t="s">
        <v>384</v>
      </c>
      <c r="BB218" s="1" t="s">
        <v>143</v>
      </c>
      <c r="BC218" s="1" t="s">
        <v>59</v>
      </c>
      <c r="BD218" s="1" t="s">
        <v>385</v>
      </c>
    </row>
    <row r="219" spans="1:56" ht="15.75" customHeight="1">
      <c r="A219" s="1">
        <f t="shared" si="2"/>
        <v>20044</v>
      </c>
      <c r="B219" s="1">
        <v>2</v>
      </c>
      <c r="C219" s="1">
        <v>3</v>
      </c>
      <c r="D219" s="1">
        <v>2</v>
      </c>
      <c r="E219" s="1">
        <f t="shared" si="1"/>
        <v>2</v>
      </c>
      <c r="G219" s="1">
        <v>43</v>
      </c>
      <c r="U219" s="1">
        <v>3</v>
      </c>
      <c r="Y219" s="1">
        <v>6</v>
      </c>
      <c r="AT219" s="1">
        <v>9</v>
      </c>
      <c r="AU219" s="1">
        <v>26</v>
      </c>
      <c r="AV219" s="1" t="s">
        <v>383</v>
      </c>
      <c r="AW219" s="1" t="s">
        <v>918</v>
      </c>
      <c r="AX219" s="1" t="s">
        <v>373</v>
      </c>
      <c r="AY219" s="1" t="s">
        <v>134</v>
      </c>
      <c r="AZ219" s="1" t="s">
        <v>1097</v>
      </c>
      <c r="BA219" s="1" t="s">
        <v>384</v>
      </c>
      <c r="BB219" s="1" t="s">
        <v>148</v>
      </c>
      <c r="BC219" s="1" t="s">
        <v>59</v>
      </c>
      <c r="BD219" s="1" t="s">
        <v>385</v>
      </c>
    </row>
    <row r="220" spans="1:56" ht="15.75" customHeight="1">
      <c r="A220" s="1">
        <f t="shared" si="2"/>
        <v>20044</v>
      </c>
      <c r="B220" s="1">
        <v>2</v>
      </c>
      <c r="C220" s="1">
        <v>3</v>
      </c>
      <c r="D220" s="1">
        <v>2</v>
      </c>
      <c r="E220" s="1">
        <f t="shared" si="1"/>
        <v>3</v>
      </c>
      <c r="G220" s="1">
        <v>46</v>
      </c>
      <c r="U220" s="1">
        <v>3</v>
      </c>
      <c r="Y220" s="1">
        <v>6</v>
      </c>
      <c r="AT220" s="1">
        <v>17</v>
      </c>
      <c r="AU220" s="1">
        <v>26</v>
      </c>
      <c r="AV220" s="1" t="s">
        <v>383</v>
      </c>
      <c r="AW220" s="1" t="s">
        <v>919</v>
      </c>
      <c r="AX220" s="1" t="s">
        <v>373</v>
      </c>
      <c r="AY220" s="1" t="s">
        <v>134</v>
      </c>
      <c r="AZ220" s="1" t="s">
        <v>1086</v>
      </c>
      <c r="BA220" s="1" t="s">
        <v>384</v>
      </c>
      <c r="BB220" s="1" t="s">
        <v>148</v>
      </c>
      <c r="BC220" s="1" t="s">
        <v>59</v>
      </c>
      <c r="BD220" s="1" t="s">
        <v>385</v>
      </c>
    </row>
    <row r="221" spans="1:56" ht="15.75" customHeight="1">
      <c r="A221" s="1">
        <f t="shared" si="2"/>
        <v>20044</v>
      </c>
      <c r="B221" s="1">
        <v>2</v>
      </c>
      <c r="C221" s="1">
        <v>3</v>
      </c>
      <c r="D221" s="1">
        <v>2</v>
      </c>
      <c r="E221" s="1">
        <f t="shared" si="1"/>
        <v>4</v>
      </c>
      <c r="G221" s="1">
        <v>49</v>
      </c>
      <c r="U221" s="1">
        <v>5</v>
      </c>
      <c r="Y221" s="1">
        <v>6</v>
      </c>
      <c r="AT221" s="1">
        <v>17</v>
      </c>
      <c r="AU221" s="1">
        <v>30</v>
      </c>
      <c r="AV221" s="1" t="s">
        <v>383</v>
      </c>
      <c r="AW221" s="1" t="s">
        <v>920</v>
      </c>
      <c r="AX221" s="1" t="s">
        <v>373</v>
      </c>
      <c r="AY221" s="1" t="s">
        <v>226</v>
      </c>
      <c r="AZ221" s="1" t="s">
        <v>1086</v>
      </c>
      <c r="BA221" s="1" t="s">
        <v>384</v>
      </c>
      <c r="BB221" s="1" t="s">
        <v>152</v>
      </c>
      <c r="BC221" s="1" t="s">
        <v>59</v>
      </c>
      <c r="BD221" s="1" t="s">
        <v>385</v>
      </c>
    </row>
    <row r="222" spans="1:56" ht="15.75" customHeight="1">
      <c r="A222" s="1">
        <f t="shared" si="2"/>
        <v>20045</v>
      </c>
      <c r="B222" s="1">
        <v>0</v>
      </c>
      <c r="C222" s="1">
        <v>2</v>
      </c>
      <c r="D222" s="1">
        <v>2</v>
      </c>
      <c r="E222" s="1">
        <f t="shared" si="1"/>
        <v>0</v>
      </c>
      <c r="G222" s="1">
        <v>37</v>
      </c>
      <c r="Q222" s="1">
        <v>5</v>
      </c>
      <c r="R222" s="1"/>
      <c r="AL222" s="1">
        <v>4</v>
      </c>
      <c r="AT222" s="1">
        <v>9</v>
      </c>
      <c r="AU222" s="1">
        <v>22</v>
      </c>
      <c r="AV222" s="1" t="s">
        <v>386</v>
      </c>
      <c r="AW222" s="1" t="s">
        <v>927</v>
      </c>
      <c r="AX222" s="1" t="s">
        <v>242</v>
      </c>
      <c r="AY222" s="1" t="s">
        <v>1096</v>
      </c>
      <c r="AZ222" s="1" t="s">
        <v>387</v>
      </c>
      <c r="BA222" s="1" t="s">
        <v>388</v>
      </c>
      <c r="BB222" s="1" t="s">
        <v>158</v>
      </c>
      <c r="BC222" s="1" t="s">
        <v>59</v>
      </c>
      <c r="BD222" s="1" t="s">
        <v>389</v>
      </c>
    </row>
    <row r="223" spans="1:56" ht="15.75" customHeight="1">
      <c r="A223" s="1">
        <f t="shared" si="2"/>
        <v>20045</v>
      </c>
      <c r="B223" s="1">
        <v>0</v>
      </c>
      <c r="C223" s="1">
        <v>2</v>
      </c>
      <c r="D223" s="1">
        <v>2</v>
      </c>
      <c r="E223" s="1">
        <f t="shared" si="1"/>
        <v>1</v>
      </c>
      <c r="G223" s="1">
        <v>40</v>
      </c>
      <c r="Q223" s="1">
        <v>10</v>
      </c>
      <c r="R223" s="1"/>
      <c r="AL223" s="1">
        <v>4</v>
      </c>
      <c r="AT223" s="1">
        <v>9</v>
      </c>
      <c r="AU223" s="1">
        <v>22</v>
      </c>
      <c r="AV223" s="1" t="s">
        <v>386</v>
      </c>
      <c r="AW223" s="1" t="s">
        <v>925</v>
      </c>
      <c r="AX223" s="1" t="s">
        <v>246</v>
      </c>
      <c r="AY223" s="1" t="s">
        <v>1096</v>
      </c>
      <c r="AZ223" s="1" t="s">
        <v>387</v>
      </c>
      <c r="BA223" s="1" t="s">
        <v>388</v>
      </c>
      <c r="BB223" s="1" t="s">
        <v>158</v>
      </c>
      <c r="BC223" s="1" t="s">
        <v>59</v>
      </c>
      <c r="BD223" s="1" t="s">
        <v>389</v>
      </c>
    </row>
    <row r="224" spans="1:56" ht="15.75" customHeight="1">
      <c r="A224" s="1">
        <f t="shared" si="2"/>
        <v>20045</v>
      </c>
      <c r="B224" s="1">
        <v>0</v>
      </c>
      <c r="C224" s="1">
        <v>2</v>
      </c>
      <c r="D224" s="1">
        <v>2</v>
      </c>
      <c r="E224" s="1">
        <f t="shared" si="1"/>
        <v>2</v>
      </c>
      <c r="G224" s="1">
        <v>43</v>
      </c>
      <c r="Q224" s="1">
        <v>10</v>
      </c>
      <c r="R224" s="1"/>
      <c r="AL224" s="1">
        <v>4</v>
      </c>
      <c r="AT224" s="1">
        <v>9</v>
      </c>
      <c r="AU224" s="1">
        <v>26</v>
      </c>
      <c r="AV224" s="1" t="s">
        <v>386</v>
      </c>
      <c r="AW224" s="1" t="s">
        <v>929</v>
      </c>
      <c r="AX224" s="1" t="s">
        <v>246</v>
      </c>
      <c r="AY224" s="1" t="s">
        <v>1096</v>
      </c>
      <c r="AZ224" s="1" t="s">
        <v>387</v>
      </c>
      <c r="BA224" s="1" t="s">
        <v>388</v>
      </c>
      <c r="BB224" s="1" t="s">
        <v>163</v>
      </c>
      <c r="BC224" s="1" t="s">
        <v>59</v>
      </c>
      <c r="BD224" s="1" t="s">
        <v>389</v>
      </c>
    </row>
    <row r="225" spans="1:56" ht="15.75" customHeight="1">
      <c r="A225" s="1">
        <f t="shared" si="2"/>
        <v>20045</v>
      </c>
      <c r="B225" s="1">
        <v>0</v>
      </c>
      <c r="C225" s="1">
        <v>2</v>
      </c>
      <c r="D225" s="1">
        <v>2</v>
      </c>
      <c r="E225" s="1">
        <f t="shared" si="1"/>
        <v>3</v>
      </c>
      <c r="G225" s="1">
        <v>46</v>
      </c>
      <c r="Q225" s="1">
        <v>10</v>
      </c>
      <c r="R225" s="1"/>
      <c r="AL225" s="1">
        <v>8</v>
      </c>
      <c r="AT225" s="1">
        <v>9</v>
      </c>
      <c r="AU225" s="1">
        <v>26</v>
      </c>
      <c r="AV225" s="1" t="s">
        <v>386</v>
      </c>
      <c r="AW225" s="1" t="s">
        <v>931</v>
      </c>
      <c r="AX225" s="1" t="s">
        <v>246</v>
      </c>
      <c r="AY225" s="1" t="s">
        <v>1096</v>
      </c>
      <c r="AZ225" s="1" t="s">
        <v>390</v>
      </c>
      <c r="BA225" s="1" t="s">
        <v>388</v>
      </c>
      <c r="BB225" s="1" t="s">
        <v>163</v>
      </c>
      <c r="BC225" s="1" t="s">
        <v>59</v>
      </c>
      <c r="BD225" s="1" t="s">
        <v>389</v>
      </c>
    </row>
    <row r="226" spans="1:56" ht="15.75" customHeight="1">
      <c r="A226" s="1">
        <f t="shared" si="2"/>
        <v>20045</v>
      </c>
      <c r="B226" s="1">
        <v>0</v>
      </c>
      <c r="C226" s="1">
        <v>2</v>
      </c>
      <c r="D226" s="1">
        <v>2</v>
      </c>
      <c r="E226" s="1">
        <f t="shared" si="1"/>
        <v>4</v>
      </c>
      <c r="G226" s="1">
        <v>49</v>
      </c>
      <c r="Q226" s="1">
        <v>10</v>
      </c>
      <c r="R226" s="1"/>
      <c r="AL226" s="1">
        <v>8</v>
      </c>
      <c r="AT226" s="1">
        <v>17</v>
      </c>
      <c r="AU226" s="1">
        <v>30</v>
      </c>
      <c r="AV226" s="1" t="s">
        <v>386</v>
      </c>
      <c r="AW226" s="1" t="s">
        <v>933</v>
      </c>
      <c r="AX226" s="1" t="s">
        <v>246</v>
      </c>
      <c r="AY226" s="1" t="s">
        <v>1089</v>
      </c>
      <c r="AZ226" s="1" t="s">
        <v>390</v>
      </c>
      <c r="BA226" s="1" t="s">
        <v>388</v>
      </c>
      <c r="BB226" s="1" t="s">
        <v>167</v>
      </c>
      <c r="BC226" s="1" t="s">
        <v>59</v>
      </c>
      <c r="BD226" s="1" t="s">
        <v>389</v>
      </c>
    </row>
    <row r="227" spans="1:56" ht="15.75" customHeight="1">
      <c r="A227" s="1">
        <f t="shared" si="2"/>
        <v>20046</v>
      </c>
      <c r="B227" s="1">
        <v>0</v>
      </c>
      <c r="C227" s="1">
        <v>0</v>
      </c>
      <c r="D227" s="1">
        <v>2</v>
      </c>
      <c r="E227" s="1">
        <f t="shared" si="1"/>
        <v>0</v>
      </c>
      <c r="G227" s="1">
        <v>37</v>
      </c>
      <c r="Q227" s="1">
        <v>5</v>
      </c>
      <c r="R227" s="1"/>
      <c r="U227" s="1">
        <v>3</v>
      </c>
      <c r="W227" s="1">
        <v>2</v>
      </c>
      <c r="AU227" s="1">
        <v>22</v>
      </c>
      <c r="AV227" s="1" t="s">
        <v>391</v>
      </c>
      <c r="AW227" s="1" t="s">
        <v>927</v>
      </c>
      <c r="AX227" s="1" t="s">
        <v>242</v>
      </c>
      <c r="AY227" s="1" t="s">
        <v>241</v>
      </c>
      <c r="AZ227" s="1" t="s">
        <v>118</v>
      </c>
      <c r="BA227" s="1" t="s">
        <v>392</v>
      </c>
      <c r="BB227" s="1" t="s">
        <v>158</v>
      </c>
      <c r="BC227" s="1" t="s">
        <v>59</v>
      </c>
      <c r="BD227" s="1" t="s">
        <v>393</v>
      </c>
    </row>
    <row r="228" spans="1:56" ht="15.75" customHeight="1">
      <c r="A228" s="1">
        <f t="shared" si="2"/>
        <v>20046</v>
      </c>
      <c r="B228" s="1">
        <v>0</v>
      </c>
      <c r="C228" s="1">
        <v>0</v>
      </c>
      <c r="D228" s="1">
        <v>2</v>
      </c>
      <c r="E228" s="1">
        <f t="shared" si="1"/>
        <v>1</v>
      </c>
      <c r="G228" s="1">
        <v>40</v>
      </c>
      <c r="Q228" s="1">
        <v>10</v>
      </c>
      <c r="R228" s="1"/>
      <c r="U228" s="1">
        <v>3</v>
      </c>
      <c r="W228" s="1">
        <v>2</v>
      </c>
      <c r="AU228" s="1">
        <v>22</v>
      </c>
      <c r="AV228" s="1" t="s">
        <v>391</v>
      </c>
      <c r="AW228" s="1" t="s">
        <v>925</v>
      </c>
      <c r="AX228" s="1" t="s">
        <v>246</v>
      </c>
      <c r="AY228" s="1" t="s">
        <v>241</v>
      </c>
      <c r="AZ228" s="1" t="s">
        <v>118</v>
      </c>
      <c r="BA228" s="1" t="s">
        <v>392</v>
      </c>
      <c r="BB228" s="1" t="s">
        <v>158</v>
      </c>
      <c r="BC228" s="1" t="s">
        <v>59</v>
      </c>
      <c r="BD228" s="1" t="s">
        <v>393</v>
      </c>
    </row>
    <row r="229" spans="1:56" ht="15.75" customHeight="1">
      <c r="A229" s="1">
        <f t="shared" si="2"/>
        <v>20046</v>
      </c>
      <c r="B229" s="1">
        <v>0</v>
      </c>
      <c r="C229" s="1">
        <v>0</v>
      </c>
      <c r="D229" s="1">
        <v>2</v>
      </c>
      <c r="E229" s="1">
        <f t="shared" si="1"/>
        <v>2</v>
      </c>
      <c r="G229" s="1">
        <v>43</v>
      </c>
      <c r="Q229" s="1">
        <v>10</v>
      </c>
      <c r="R229" s="1"/>
      <c r="U229" s="1">
        <v>3</v>
      </c>
      <c r="W229" s="1">
        <v>2</v>
      </c>
      <c r="AU229" s="1">
        <v>26</v>
      </c>
      <c r="AV229" s="1" t="s">
        <v>391</v>
      </c>
      <c r="AW229" s="1" t="s">
        <v>929</v>
      </c>
      <c r="AX229" s="1" t="s">
        <v>246</v>
      </c>
      <c r="AY229" s="1" t="s">
        <v>241</v>
      </c>
      <c r="AZ229" s="1" t="s">
        <v>118</v>
      </c>
      <c r="BA229" s="1" t="s">
        <v>392</v>
      </c>
      <c r="BB229" s="1" t="s">
        <v>163</v>
      </c>
      <c r="BC229" s="1" t="s">
        <v>59</v>
      </c>
      <c r="BD229" s="1" t="s">
        <v>393</v>
      </c>
    </row>
    <row r="230" spans="1:56" ht="15.75" customHeight="1">
      <c r="A230" s="1">
        <f t="shared" si="2"/>
        <v>20046</v>
      </c>
      <c r="B230" s="1">
        <v>0</v>
      </c>
      <c r="C230" s="1">
        <v>0</v>
      </c>
      <c r="D230" s="1">
        <v>2</v>
      </c>
      <c r="E230" s="1">
        <f t="shared" si="1"/>
        <v>3</v>
      </c>
      <c r="G230" s="1">
        <v>46</v>
      </c>
      <c r="Q230" s="1">
        <v>10</v>
      </c>
      <c r="R230" s="1"/>
      <c r="U230" s="1">
        <v>5</v>
      </c>
      <c r="W230" s="1">
        <v>2</v>
      </c>
      <c r="AU230" s="1">
        <v>26</v>
      </c>
      <c r="AV230" s="1" t="s">
        <v>391</v>
      </c>
      <c r="AW230" s="1" t="s">
        <v>931</v>
      </c>
      <c r="AX230" s="1" t="s">
        <v>246</v>
      </c>
      <c r="AY230" s="1" t="s">
        <v>241</v>
      </c>
      <c r="AZ230" s="1" t="s">
        <v>183</v>
      </c>
      <c r="BA230" s="1" t="s">
        <v>392</v>
      </c>
      <c r="BB230" s="1" t="s">
        <v>163</v>
      </c>
      <c r="BC230" s="1" t="s">
        <v>59</v>
      </c>
      <c r="BD230" s="1" t="s">
        <v>393</v>
      </c>
    </row>
    <row r="231" spans="1:56" ht="15.75" customHeight="1">
      <c r="A231" s="1">
        <f t="shared" si="2"/>
        <v>20046</v>
      </c>
      <c r="B231" s="1">
        <v>0</v>
      </c>
      <c r="C231" s="1">
        <v>0</v>
      </c>
      <c r="D231" s="1">
        <v>2</v>
      </c>
      <c r="E231" s="1">
        <f t="shared" si="1"/>
        <v>4</v>
      </c>
      <c r="G231" s="1">
        <v>49</v>
      </c>
      <c r="Q231" s="1">
        <v>10</v>
      </c>
      <c r="R231" s="1"/>
      <c r="U231" s="1">
        <v>5</v>
      </c>
      <c r="W231" s="1">
        <v>3</v>
      </c>
      <c r="AU231" s="1">
        <v>30</v>
      </c>
      <c r="AV231" s="1" t="s">
        <v>391</v>
      </c>
      <c r="AW231" s="1" t="s">
        <v>933</v>
      </c>
      <c r="AX231" s="1" t="s">
        <v>246</v>
      </c>
      <c r="AY231" s="1" t="s">
        <v>247</v>
      </c>
      <c r="AZ231" s="1" t="s">
        <v>183</v>
      </c>
      <c r="BA231" s="1" t="s">
        <v>392</v>
      </c>
      <c r="BB231" s="1" t="s">
        <v>167</v>
      </c>
      <c r="BC231" s="1" t="s">
        <v>59</v>
      </c>
      <c r="BD231" s="1" t="s">
        <v>393</v>
      </c>
    </row>
    <row r="232" spans="1:56" ht="15.75" customHeight="1">
      <c r="A232" s="1">
        <f t="shared" si="2"/>
        <v>20047</v>
      </c>
      <c r="B232" s="1">
        <v>2</v>
      </c>
      <c r="C232" s="1">
        <v>3</v>
      </c>
      <c r="D232" s="1">
        <v>2</v>
      </c>
      <c r="E232" s="1">
        <f t="shared" si="1"/>
        <v>0</v>
      </c>
      <c r="F232" s="1">
        <v>10.5</v>
      </c>
      <c r="G232" s="1">
        <v>37</v>
      </c>
      <c r="K232" s="1">
        <v>7</v>
      </c>
      <c r="AT232" s="1">
        <v>9</v>
      </c>
      <c r="AU232" s="1">
        <v>22</v>
      </c>
      <c r="AV232" s="1" t="s">
        <v>394</v>
      </c>
      <c r="AW232" s="1" t="s">
        <v>916</v>
      </c>
      <c r="AX232" s="1" t="s">
        <v>140</v>
      </c>
      <c r="AY232" s="1" t="s">
        <v>141</v>
      </c>
      <c r="AZ232" s="1" t="s">
        <v>1092</v>
      </c>
      <c r="BA232" s="1" t="s">
        <v>395</v>
      </c>
      <c r="BB232" s="1" t="s">
        <v>143</v>
      </c>
      <c r="BC232" s="1" t="s">
        <v>59</v>
      </c>
      <c r="BD232" s="1" t="s">
        <v>396</v>
      </c>
    </row>
    <row r="233" spans="1:56" ht="15.75" customHeight="1">
      <c r="A233" s="1">
        <f t="shared" si="2"/>
        <v>20047</v>
      </c>
      <c r="B233" s="1">
        <v>2</v>
      </c>
      <c r="C233" s="1">
        <v>3</v>
      </c>
      <c r="D233" s="1">
        <v>2</v>
      </c>
      <c r="E233" s="1">
        <f t="shared" si="1"/>
        <v>1</v>
      </c>
      <c r="F233" s="1">
        <v>21</v>
      </c>
      <c r="G233" s="1">
        <v>40</v>
      </c>
      <c r="K233" s="1">
        <v>7</v>
      </c>
      <c r="AT233" s="1">
        <v>9</v>
      </c>
      <c r="AU233" s="1">
        <v>22</v>
      </c>
      <c r="AV233" s="1" t="s">
        <v>394</v>
      </c>
      <c r="AW233" s="1" t="s">
        <v>917</v>
      </c>
      <c r="AX233" s="1" t="s">
        <v>146</v>
      </c>
      <c r="AY233" s="1" t="s">
        <v>141</v>
      </c>
      <c r="AZ233" s="1" t="s">
        <v>1092</v>
      </c>
      <c r="BA233" s="1" t="s">
        <v>395</v>
      </c>
      <c r="BB233" s="1" t="s">
        <v>143</v>
      </c>
      <c r="BC233" s="1" t="s">
        <v>59</v>
      </c>
      <c r="BD233" s="1" t="s">
        <v>396</v>
      </c>
    </row>
    <row r="234" spans="1:56" ht="15.75" customHeight="1">
      <c r="A234" s="1">
        <f t="shared" si="2"/>
        <v>20047</v>
      </c>
      <c r="B234" s="1">
        <v>2</v>
      </c>
      <c r="C234" s="1">
        <v>3</v>
      </c>
      <c r="D234" s="1">
        <v>2</v>
      </c>
      <c r="E234" s="1">
        <f t="shared" si="1"/>
        <v>2</v>
      </c>
      <c r="F234" s="1">
        <v>21</v>
      </c>
      <c r="G234" s="1">
        <v>43</v>
      </c>
      <c r="K234" s="1">
        <v>7</v>
      </c>
      <c r="AT234" s="1">
        <v>9</v>
      </c>
      <c r="AU234" s="1">
        <v>26</v>
      </c>
      <c r="AV234" s="1" t="s">
        <v>394</v>
      </c>
      <c r="AW234" s="1" t="s">
        <v>918</v>
      </c>
      <c r="AX234" s="1" t="s">
        <v>146</v>
      </c>
      <c r="AY234" s="1" t="s">
        <v>141</v>
      </c>
      <c r="AZ234" s="1" t="s">
        <v>1092</v>
      </c>
      <c r="BA234" s="1" t="s">
        <v>395</v>
      </c>
      <c r="BB234" s="1" t="s">
        <v>148</v>
      </c>
      <c r="BC234" s="1" t="s">
        <v>59</v>
      </c>
      <c r="BD234" s="1" t="s">
        <v>396</v>
      </c>
    </row>
    <row r="235" spans="1:56" ht="15.75" customHeight="1">
      <c r="A235" s="1">
        <f t="shared" si="2"/>
        <v>20047</v>
      </c>
      <c r="B235" s="1">
        <v>2</v>
      </c>
      <c r="C235" s="1">
        <v>3</v>
      </c>
      <c r="D235" s="1">
        <v>2</v>
      </c>
      <c r="E235" s="1">
        <f t="shared" si="1"/>
        <v>3</v>
      </c>
      <c r="F235" s="1">
        <v>21</v>
      </c>
      <c r="G235" s="1">
        <v>46</v>
      </c>
      <c r="K235" s="1">
        <v>7</v>
      </c>
      <c r="AT235" s="1">
        <v>17</v>
      </c>
      <c r="AU235" s="1">
        <v>26</v>
      </c>
      <c r="AV235" s="1" t="s">
        <v>394</v>
      </c>
      <c r="AW235" s="1" t="s">
        <v>919</v>
      </c>
      <c r="AX235" s="1" t="s">
        <v>146</v>
      </c>
      <c r="AY235" s="1" t="s">
        <v>141</v>
      </c>
      <c r="AZ235" s="1" t="s">
        <v>1093</v>
      </c>
      <c r="BA235" s="1" t="s">
        <v>395</v>
      </c>
      <c r="BB235" s="1" t="s">
        <v>148</v>
      </c>
      <c r="BC235" s="1" t="s">
        <v>59</v>
      </c>
      <c r="BD235" s="1" t="s">
        <v>396</v>
      </c>
    </row>
    <row r="236" spans="1:56" ht="15.75" customHeight="1">
      <c r="A236" s="1">
        <f t="shared" si="2"/>
        <v>20047</v>
      </c>
      <c r="B236" s="1">
        <v>2</v>
      </c>
      <c r="C236" s="1">
        <v>3</v>
      </c>
      <c r="D236" s="1">
        <v>2</v>
      </c>
      <c r="E236" s="1">
        <f t="shared" si="1"/>
        <v>4</v>
      </c>
      <c r="F236" s="1">
        <v>21</v>
      </c>
      <c r="G236" s="1">
        <v>49</v>
      </c>
      <c r="K236" s="1">
        <v>13</v>
      </c>
      <c r="AT236" s="1">
        <v>17</v>
      </c>
      <c r="AU236" s="1">
        <v>30</v>
      </c>
      <c r="AV236" s="1" t="s">
        <v>394</v>
      </c>
      <c r="AW236" s="1" t="s">
        <v>920</v>
      </c>
      <c r="AX236" s="1" t="s">
        <v>146</v>
      </c>
      <c r="AY236" s="1" t="s">
        <v>151</v>
      </c>
      <c r="AZ236" s="1" t="s">
        <v>1093</v>
      </c>
      <c r="BA236" s="1" t="s">
        <v>395</v>
      </c>
      <c r="BB236" s="1" t="s">
        <v>152</v>
      </c>
      <c r="BC236" s="1" t="s">
        <v>59</v>
      </c>
      <c r="BD236" s="1" t="s">
        <v>396</v>
      </c>
    </row>
    <row r="237" spans="1:56" ht="15.75" customHeight="1">
      <c r="A237" s="1">
        <f t="shared" si="2"/>
        <v>20048</v>
      </c>
      <c r="B237" s="1">
        <v>1</v>
      </c>
      <c r="C237" s="1">
        <v>3</v>
      </c>
      <c r="D237" s="1">
        <v>2</v>
      </c>
      <c r="E237" s="1">
        <f t="shared" si="1"/>
        <v>0</v>
      </c>
      <c r="F237" s="1">
        <v>10.5</v>
      </c>
      <c r="G237" s="1">
        <v>37</v>
      </c>
      <c r="K237" s="1">
        <v>7</v>
      </c>
      <c r="W237" s="1">
        <v>2</v>
      </c>
      <c r="AU237" s="1">
        <v>22</v>
      </c>
      <c r="AV237" s="1" t="s">
        <v>397</v>
      </c>
      <c r="AW237" s="1" t="s">
        <v>928</v>
      </c>
      <c r="AX237" s="1" t="s">
        <v>216</v>
      </c>
      <c r="AY237" s="1" t="s">
        <v>217</v>
      </c>
      <c r="AZ237" s="1" t="s">
        <v>293</v>
      </c>
      <c r="BA237" s="1" t="s">
        <v>398</v>
      </c>
      <c r="BB237" s="1" t="s">
        <v>205</v>
      </c>
      <c r="BC237" s="1" t="s">
        <v>59</v>
      </c>
      <c r="BD237" s="1" t="s">
        <v>399</v>
      </c>
    </row>
    <row r="238" spans="1:56" ht="15.75" customHeight="1">
      <c r="A238" s="1">
        <f t="shared" si="2"/>
        <v>20048</v>
      </c>
      <c r="B238" s="1">
        <v>1</v>
      </c>
      <c r="C238" s="1">
        <v>3</v>
      </c>
      <c r="D238" s="1">
        <v>2</v>
      </c>
      <c r="E238" s="1">
        <f t="shared" si="1"/>
        <v>1</v>
      </c>
      <c r="F238" s="1">
        <v>21</v>
      </c>
      <c r="G238" s="1">
        <v>40</v>
      </c>
      <c r="K238" s="1">
        <v>7</v>
      </c>
      <c r="W238" s="1">
        <v>2</v>
      </c>
      <c r="AU238" s="1">
        <v>22</v>
      </c>
      <c r="AV238" s="1" t="s">
        <v>397</v>
      </c>
      <c r="AW238" s="1" t="s">
        <v>926</v>
      </c>
      <c r="AX238" s="1" t="s">
        <v>220</v>
      </c>
      <c r="AY238" s="1" t="s">
        <v>217</v>
      </c>
      <c r="AZ238" s="1" t="s">
        <v>293</v>
      </c>
      <c r="BA238" s="1" t="s">
        <v>398</v>
      </c>
      <c r="BB238" s="1" t="s">
        <v>205</v>
      </c>
      <c r="BC238" s="1" t="s">
        <v>59</v>
      </c>
      <c r="BD238" s="1" t="s">
        <v>399</v>
      </c>
    </row>
    <row r="239" spans="1:56" ht="15.75" customHeight="1">
      <c r="A239" s="1">
        <f t="shared" si="2"/>
        <v>20048</v>
      </c>
      <c r="B239" s="1">
        <v>1</v>
      </c>
      <c r="C239" s="1">
        <v>3</v>
      </c>
      <c r="D239" s="1">
        <v>2</v>
      </c>
      <c r="E239" s="1">
        <f t="shared" si="1"/>
        <v>2</v>
      </c>
      <c r="F239" s="1">
        <v>21</v>
      </c>
      <c r="G239" s="1">
        <v>43</v>
      </c>
      <c r="K239" s="1">
        <v>7</v>
      </c>
      <c r="W239" s="1">
        <v>2</v>
      </c>
      <c r="AU239" s="1">
        <v>26</v>
      </c>
      <c r="AV239" s="1" t="s">
        <v>397</v>
      </c>
      <c r="AW239" s="1" t="s">
        <v>930</v>
      </c>
      <c r="AX239" s="1" t="s">
        <v>220</v>
      </c>
      <c r="AY239" s="1" t="s">
        <v>217</v>
      </c>
      <c r="AZ239" s="1" t="s">
        <v>293</v>
      </c>
      <c r="BA239" s="1" t="s">
        <v>398</v>
      </c>
      <c r="BB239" s="1" t="s">
        <v>209</v>
      </c>
      <c r="BC239" s="1" t="s">
        <v>59</v>
      </c>
      <c r="BD239" s="1" t="s">
        <v>399</v>
      </c>
    </row>
    <row r="240" spans="1:56" ht="15.75" customHeight="1">
      <c r="A240" s="1">
        <f t="shared" si="2"/>
        <v>20048</v>
      </c>
      <c r="B240" s="1">
        <v>1</v>
      </c>
      <c r="C240" s="1">
        <v>3</v>
      </c>
      <c r="D240" s="1">
        <v>2</v>
      </c>
      <c r="E240" s="1">
        <f t="shared" si="1"/>
        <v>3</v>
      </c>
      <c r="F240" s="1">
        <v>21</v>
      </c>
      <c r="G240" s="1">
        <v>46</v>
      </c>
      <c r="K240" s="1">
        <v>7</v>
      </c>
      <c r="W240" s="1">
        <v>3</v>
      </c>
      <c r="AU240" s="1">
        <v>26</v>
      </c>
      <c r="AV240" s="1" t="s">
        <v>397</v>
      </c>
      <c r="AW240" s="1" t="s">
        <v>932</v>
      </c>
      <c r="AX240" s="1" t="s">
        <v>220</v>
      </c>
      <c r="AY240" s="1" t="s">
        <v>217</v>
      </c>
      <c r="AZ240" s="1" t="s">
        <v>296</v>
      </c>
      <c r="BA240" s="1" t="s">
        <v>398</v>
      </c>
      <c r="BB240" s="1" t="s">
        <v>209</v>
      </c>
      <c r="BC240" s="1" t="s">
        <v>59</v>
      </c>
      <c r="BD240" s="1" t="s">
        <v>399</v>
      </c>
    </row>
    <row r="241" spans="1:56" ht="15.75" customHeight="1">
      <c r="A241" s="1">
        <f t="shared" si="2"/>
        <v>20048</v>
      </c>
      <c r="B241" s="1">
        <v>1</v>
      </c>
      <c r="C241" s="1">
        <v>3</v>
      </c>
      <c r="D241" s="1">
        <v>2</v>
      </c>
      <c r="E241" s="1">
        <f t="shared" si="1"/>
        <v>4</v>
      </c>
      <c r="F241" s="1">
        <v>21</v>
      </c>
      <c r="G241" s="1">
        <v>49</v>
      </c>
      <c r="K241" s="1">
        <v>13</v>
      </c>
      <c r="W241" s="1">
        <v>3</v>
      </c>
      <c r="AU241" s="1">
        <v>30</v>
      </c>
      <c r="AV241" s="1" t="s">
        <v>397</v>
      </c>
      <c r="AW241" s="1" t="s">
        <v>934</v>
      </c>
      <c r="AX241" s="1" t="s">
        <v>220</v>
      </c>
      <c r="AY241" s="1" t="s">
        <v>221</v>
      </c>
      <c r="AZ241" s="1" t="s">
        <v>296</v>
      </c>
      <c r="BA241" s="1" t="s">
        <v>398</v>
      </c>
      <c r="BB241" s="1" t="s">
        <v>214</v>
      </c>
      <c r="BC241" s="1" t="s">
        <v>59</v>
      </c>
      <c r="BD241" s="1" t="s">
        <v>399</v>
      </c>
    </row>
    <row r="242" spans="1:56" ht="15.75" customHeight="1">
      <c r="A242" s="1">
        <f t="shared" si="2"/>
        <v>20049</v>
      </c>
      <c r="B242" s="1">
        <v>2</v>
      </c>
      <c r="C242" s="1">
        <v>3</v>
      </c>
      <c r="D242" s="1">
        <v>2</v>
      </c>
      <c r="E242" s="1">
        <f t="shared" si="1"/>
        <v>0</v>
      </c>
      <c r="F242" s="1">
        <v>10.5</v>
      </c>
      <c r="G242" s="1">
        <v>37</v>
      </c>
      <c r="K242" s="1">
        <v>7</v>
      </c>
      <c r="AN242" s="1">
        <v>8</v>
      </c>
      <c r="AU242" s="1">
        <v>22</v>
      </c>
      <c r="AV242" s="1" t="s">
        <v>400</v>
      </c>
      <c r="AW242" s="1" t="s">
        <v>916</v>
      </c>
      <c r="AX242" s="1" t="s">
        <v>140</v>
      </c>
      <c r="AY242" s="1" t="s">
        <v>141</v>
      </c>
      <c r="AZ242" s="1" t="s">
        <v>401</v>
      </c>
      <c r="BA242" s="1" t="s">
        <v>402</v>
      </c>
      <c r="BB242" s="1" t="s">
        <v>143</v>
      </c>
      <c r="BC242" s="1" t="s">
        <v>59</v>
      </c>
      <c r="BD242" s="1" t="s">
        <v>403</v>
      </c>
    </row>
    <row r="243" spans="1:56" ht="15.75" customHeight="1">
      <c r="A243" s="1">
        <f t="shared" si="2"/>
        <v>20049</v>
      </c>
      <c r="B243" s="1">
        <v>2</v>
      </c>
      <c r="C243" s="1">
        <v>3</v>
      </c>
      <c r="D243" s="1">
        <v>2</v>
      </c>
      <c r="E243" s="1">
        <f t="shared" si="1"/>
        <v>1</v>
      </c>
      <c r="F243" s="1">
        <v>21</v>
      </c>
      <c r="G243" s="1">
        <v>40</v>
      </c>
      <c r="K243" s="1">
        <v>7</v>
      </c>
      <c r="AN243" s="1">
        <v>8</v>
      </c>
      <c r="AU243" s="1">
        <v>22</v>
      </c>
      <c r="AV243" s="1" t="s">
        <v>400</v>
      </c>
      <c r="AW243" s="1" t="s">
        <v>917</v>
      </c>
      <c r="AX243" s="1" t="s">
        <v>146</v>
      </c>
      <c r="AY243" s="1" t="s">
        <v>141</v>
      </c>
      <c r="AZ243" s="1" t="s">
        <v>401</v>
      </c>
      <c r="BA243" s="1" t="s">
        <v>402</v>
      </c>
      <c r="BB243" s="1" t="s">
        <v>143</v>
      </c>
      <c r="BC243" s="1" t="s">
        <v>59</v>
      </c>
      <c r="BD243" s="1" t="s">
        <v>403</v>
      </c>
    </row>
    <row r="244" spans="1:56" ht="15.75" customHeight="1">
      <c r="A244" s="1">
        <f t="shared" si="2"/>
        <v>20049</v>
      </c>
      <c r="B244" s="1">
        <v>2</v>
      </c>
      <c r="C244" s="1">
        <v>3</v>
      </c>
      <c r="D244" s="1">
        <v>2</v>
      </c>
      <c r="E244" s="1">
        <f t="shared" si="1"/>
        <v>2</v>
      </c>
      <c r="F244" s="1">
        <v>21</v>
      </c>
      <c r="G244" s="1">
        <v>43</v>
      </c>
      <c r="K244" s="1">
        <v>7</v>
      </c>
      <c r="AN244" s="1">
        <v>8</v>
      </c>
      <c r="AU244" s="1">
        <v>26</v>
      </c>
      <c r="AV244" s="1" t="s">
        <v>400</v>
      </c>
      <c r="AW244" s="1" t="s">
        <v>918</v>
      </c>
      <c r="AX244" s="1" t="s">
        <v>146</v>
      </c>
      <c r="AY244" s="1" t="s">
        <v>141</v>
      </c>
      <c r="AZ244" s="1" t="s">
        <v>401</v>
      </c>
      <c r="BA244" s="1" t="s">
        <v>402</v>
      </c>
      <c r="BB244" s="1" t="s">
        <v>148</v>
      </c>
      <c r="BC244" s="1" t="s">
        <v>59</v>
      </c>
      <c r="BD244" s="1" t="s">
        <v>403</v>
      </c>
    </row>
    <row r="245" spans="1:56" ht="15.75" customHeight="1">
      <c r="A245" s="1">
        <f t="shared" si="2"/>
        <v>20049</v>
      </c>
      <c r="B245" s="1">
        <v>2</v>
      </c>
      <c r="C245" s="1">
        <v>3</v>
      </c>
      <c r="D245" s="1">
        <v>2</v>
      </c>
      <c r="E245" s="1">
        <f t="shared" si="1"/>
        <v>3</v>
      </c>
      <c r="F245" s="1">
        <v>21</v>
      </c>
      <c r="G245" s="1">
        <v>46</v>
      </c>
      <c r="K245" s="1">
        <v>7</v>
      </c>
      <c r="AN245" s="1">
        <v>16</v>
      </c>
      <c r="AU245" s="1">
        <v>26</v>
      </c>
      <c r="AV245" s="1" t="s">
        <v>400</v>
      </c>
      <c r="AW245" s="1" t="s">
        <v>919</v>
      </c>
      <c r="AX245" s="1" t="s">
        <v>146</v>
      </c>
      <c r="AY245" s="1" t="s">
        <v>141</v>
      </c>
      <c r="AZ245" s="1" t="s">
        <v>404</v>
      </c>
      <c r="BA245" s="1" t="s">
        <v>402</v>
      </c>
      <c r="BB245" s="1" t="s">
        <v>148</v>
      </c>
      <c r="BC245" s="1" t="s">
        <v>59</v>
      </c>
      <c r="BD245" s="1" t="s">
        <v>403</v>
      </c>
    </row>
    <row r="246" spans="1:56" ht="15.75" customHeight="1">
      <c r="A246" s="1">
        <f t="shared" si="2"/>
        <v>20049</v>
      </c>
      <c r="B246" s="1">
        <v>2</v>
      </c>
      <c r="C246" s="1">
        <v>3</v>
      </c>
      <c r="D246" s="1">
        <v>2</v>
      </c>
      <c r="E246" s="1">
        <f t="shared" si="1"/>
        <v>4</v>
      </c>
      <c r="F246" s="1">
        <v>21</v>
      </c>
      <c r="G246" s="1">
        <v>49</v>
      </c>
      <c r="K246" s="1">
        <v>13</v>
      </c>
      <c r="AN246" s="1">
        <v>16</v>
      </c>
      <c r="AU246" s="1">
        <v>30</v>
      </c>
      <c r="AV246" s="1" t="s">
        <v>400</v>
      </c>
      <c r="AW246" s="1" t="s">
        <v>920</v>
      </c>
      <c r="AX246" s="1" t="s">
        <v>146</v>
      </c>
      <c r="AY246" s="1" t="s">
        <v>151</v>
      </c>
      <c r="AZ246" s="1" t="s">
        <v>404</v>
      </c>
      <c r="BA246" s="1" t="s">
        <v>402</v>
      </c>
      <c r="BB246" s="1" t="s">
        <v>152</v>
      </c>
      <c r="BC246" s="1" t="s">
        <v>59</v>
      </c>
      <c r="BD246" s="1" t="s">
        <v>403</v>
      </c>
    </row>
    <row r="247" spans="1:56" ht="15.75" customHeight="1">
      <c r="A247" s="1">
        <v>20050</v>
      </c>
      <c r="B247" s="1">
        <v>1</v>
      </c>
      <c r="C247" s="1">
        <v>1</v>
      </c>
      <c r="D247" s="1">
        <v>2</v>
      </c>
      <c r="E247" s="1">
        <v>0</v>
      </c>
      <c r="I247" s="1">
        <v>4.3999999999999997E-2</v>
      </c>
      <c r="K247" s="1">
        <v>7</v>
      </c>
      <c r="AE247" s="1">
        <v>2</v>
      </c>
      <c r="AU247" s="1">
        <v>22</v>
      </c>
      <c r="AV247" s="1" t="s">
        <v>405</v>
      </c>
      <c r="AW247" s="1" t="s">
        <v>201</v>
      </c>
      <c r="AX247" s="1" t="s">
        <v>229</v>
      </c>
      <c r="AY247" s="1" t="s">
        <v>217</v>
      </c>
      <c r="AZ247" s="1" t="s">
        <v>406</v>
      </c>
      <c r="BA247" s="1" t="s">
        <v>407</v>
      </c>
      <c r="BB247" s="1" t="s">
        <v>205</v>
      </c>
      <c r="BC247" s="1" t="s">
        <v>59</v>
      </c>
      <c r="BD247" s="1" t="s">
        <v>408</v>
      </c>
    </row>
    <row r="248" spans="1:56" ht="15.75" customHeight="1">
      <c r="A248" s="1">
        <v>20050</v>
      </c>
      <c r="B248" s="1">
        <v>1</v>
      </c>
      <c r="C248" s="1">
        <v>1</v>
      </c>
      <c r="D248" s="1">
        <v>2</v>
      </c>
      <c r="E248" s="1">
        <v>1</v>
      </c>
      <c r="I248" s="1">
        <v>4.9000000000000002E-2</v>
      </c>
      <c r="K248" s="1">
        <v>7</v>
      </c>
      <c r="AE248" s="1">
        <v>2</v>
      </c>
      <c r="AU248" s="1">
        <v>22</v>
      </c>
      <c r="AV248" s="1" t="s">
        <v>405</v>
      </c>
      <c r="AW248" s="1" t="s">
        <v>207</v>
      </c>
      <c r="AX248" s="1" t="s">
        <v>232</v>
      </c>
      <c r="AY248" s="1" t="s">
        <v>217</v>
      </c>
      <c r="AZ248" s="1" t="s">
        <v>406</v>
      </c>
      <c r="BA248" s="1" t="s">
        <v>407</v>
      </c>
      <c r="BB248" s="1" t="s">
        <v>205</v>
      </c>
      <c r="BC248" s="1" t="s">
        <v>59</v>
      </c>
      <c r="BD248" s="1" t="s">
        <v>408</v>
      </c>
    </row>
    <row r="249" spans="1:56" ht="15.75" customHeight="1">
      <c r="A249" s="1">
        <v>20050</v>
      </c>
      <c r="B249" s="1">
        <v>1</v>
      </c>
      <c r="C249" s="1">
        <v>1</v>
      </c>
      <c r="D249" s="1">
        <v>2</v>
      </c>
      <c r="E249" s="1">
        <v>2</v>
      </c>
      <c r="I249" s="1">
        <v>5.3999999999999999E-2</v>
      </c>
      <c r="K249" s="1">
        <v>7</v>
      </c>
      <c r="AE249" s="1">
        <v>2</v>
      </c>
      <c r="AU249" s="1">
        <v>26</v>
      </c>
      <c r="AV249" s="1" t="s">
        <v>405</v>
      </c>
      <c r="AW249" s="1" t="s">
        <v>208</v>
      </c>
      <c r="AX249" s="1" t="s">
        <v>232</v>
      </c>
      <c r="AY249" s="1" t="s">
        <v>217</v>
      </c>
      <c r="AZ249" s="1" t="s">
        <v>406</v>
      </c>
      <c r="BA249" s="1" t="s">
        <v>407</v>
      </c>
      <c r="BB249" s="1" t="s">
        <v>209</v>
      </c>
      <c r="BC249" s="1" t="s">
        <v>59</v>
      </c>
      <c r="BD249" s="1" t="s">
        <v>408</v>
      </c>
    </row>
    <row r="250" spans="1:56" ht="15.75" customHeight="1">
      <c r="A250" s="1">
        <v>20050</v>
      </c>
      <c r="B250" s="1">
        <v>1</v>
      </c>
      <c r="C250" s="1">
        <v>1</v>
      </c>
      <c r="D250" s="1">
        <v>2</v>
      </c>
      <c r="E250" s="1">
        <v>3</v>
      </c>
      <c r="I250" s="1">
        <v>5.8999999999999997E-2</v>
      </c>
      <c r="K250" s="1">
        <v>7</v>
      </c>
      <c r="AE250" s="1">
        <v>3</v>
      </c>
      <c r="AU250" s="1">
        <v>26</v>
      </c>
      <c r="AV250" s="1" t="s">
        <v>405</v>
      </c>
      <c r="AW250" s="1" t="s">
        <v>210</v>
      </c>
      <c r="AX250" s="1" t="s">
        <v>232</v>
      </c>
      <c r="AY250" s="1" t="s">
        <v>217</v>
      </c>
      <c r="AZ250" s="1" t="s">
        <v>409</v>
      </c>
      <c r="BA250" s="1" t="s">
        <v>407</v>
      </c>
      <c r="BB250" s="1" t="s">
        <v>209</v>
      </c>
      <c r="BC250" s="1" t="s">
        <v>59</v>
      </c>
      <c r="BD250" s="1" t="s">
        <v>408</v>
      </c>
    </row>
    <row r="251" spans="1:56" ht="15.75" customHeight="1">
      <c r="A251" s="1">
        <v>20050</v>
      </c>
      <c r="B251" s="1">
        <v>1</v>
      </c>
      <c r="C251" s="1">
        <v>1</v>
      </c>
      <c r="D251" s="1">
        <v>2</v>
      </c>
      <c r="E251" s="1">
        <v>4</v>
      </c>
      <c r="I251" s="1">
        <v>6.4000000000000001E-2</v>
      </c>
      <c r="K251" s="1">
        <v>13</v>
      </c>
      <c r="AE251" s="1">
        <v>3</v>
      </c>
      <c r="AU251" s="1">
        <v>30</v>
      </c>
      <c r="AV251" s="1" t="s">
        <v>405</v>
      </c>
      <c r="AW251" s="1" t="s">
        <v>212</v>
      </c>
      <c r="AX251" s="1" t="s">
        <v>232</v>
      </c>
      <c r="AY251" s="1" t="s">
        <v>221</v>
      </c>
      <c r="AZ251" s="1" t="s">
        <v>409</v>
      </c>
      <c r="BA251" s="1" t="s">
        <v>407</v>
      </c>
      <c r="BB251" s="1" t="s">
        <v>214</v>
      </c>
      <c r="BC251" s="1" t="s">
        <v>59</v>
      </c>
      <c r="BD251" s="1" t="s">
        <v>408</v>
      </c>
    </row>
    <row r="252" spans="1:56" ht="15.75" customHeight="1">
      <c r="A252" s="1">
        <v>20051</v>
      </c>
      <c r="B252" s="1">
        <v>0</v>
      </c>
      <c r="C252" s="1">
        <v>2</v>
      </c>
      <c r="D252" s="1">
        <v>2</v>
      </c>
      <c r="E252" s="1">
        <v>0</v>
      </c>
      <c r="I252" s="1">
        <v>4.3999999999999997E-2</v>
      </c>
      <c r="K252" s="1">
        <v>7</v>
      </c>
      <c r="AH252" s="1">
        <v>2</v>
      </c>
      <c r="AU252" s="1">
        <v>22</v>
      </c>
      <c r="AV252" s="1" t="s">
        <v>410</v>
      </c>
      <c r="AW252" s="1" t="s">
        <v>154</v>
      </c>
      <c r="AX252" s="1" t="s">
        <v>178</v>
      </c>
      <c r="AY252" s="1" t="s">
        <v>156</v>
      </c>
      <c r="AZ252" s="1" t="s">
        <v>411</v>
      </c>
      <c r="BA252" s="1" t="s">
        <v>412</v>
      </c>
      <c r="BB252" s="1" t="s">
        <v>158</v>
      </c>
      <c r="BC252" s="1" t="s">
        <v>59</v>
      </c>
      <c r="BD252" s="1" t="s">
        <v>413</v>
      </c>
    </row>
    <row r="253" spans="1:56" ht="15.75" customHeight="1">
      <c r="A253" s="1">
        <v>20051</v>
      </c>
      <c r="B253" s="1">
        <v>0</v>
      </c>
      <c r="C253" s="1">
        <v>2</v>
      </c>
      <c r="D253" s="1">
        <v>2</v>
      </c>
      <c r="E253" s="1">
        <v>1</v>
      </c>
      <c r="I253" s="1">
        <v>4.9000000000000002E-2</v>
      </c>
      <c r="K253" s="1">
        <v>7</v>
      </c>
      <c r="AH253" s="1">
        <v>2</v>
      </c>
      <c r="AU253" s="1">
        <v>22</v>
      </c>
      <c r="AV253" s="1" t="s">
        <v>410</v>
      </c>
      <c r="AW253" s="1" t="s">
        <v>160</v>
      </c>
      <c r="AX253" s="1" t="s">
        <v>182</v>
      </c>
      <c r="AY253" s="1" t="s">
        <v>156</v>
      </c>
      <c r="AZ253" s="1" t="s">
        <v>411</v>
      </c>
      <c r="BA253" s="1" t="s">
        <v>412</v>
      </c>
      <c r="BB253" s="1" t="s">
        <v>158</v>
      </c>
      <c r="BC253" s="1" t="s">
        <v>59</v>
      </c>
      <c r="BD253" s="1" t="s">
        <v>413</v>
      </c>
    </row>
    <row r="254" spans="1:56" ht="15.75" customHeight="1">
      <c r="A254" s="1">
        <v>20051</v>
      </c>
      <c r="B254" s="1">
        <v>0</v>
      </c>
      <c r="C254" s="1">
        <v>2</v>
      </c>
      <c r="D254" s="1">
        <v>2</v>
      </c>
      <c r="E254" s="1">
        <v>2</v>
      </c>
      <c r="I254" s="1">
        <v>5.3999999999999999E-2</v>
      </c>
      <c r="K254" s="1">
        <v>7</v>
      </c>
      <c r="AH254" s="1">
        <v>2</v>
      </c>
      <c r="AU254" s="1">
        <v>26</v>
      </c>
      <c r="AV254" s="1" t="s">
        <v>410</v>
      </c>
      <c r="AW254" s="1" t="s">
        <v>162</v>
      </c>
      <c r="AX254" s="1" t="s">
        <v>182</v>
      </c>
      <c r="AY254" s="1" t="s">
        <v>156</v>
      </c>
      <c r="AZ254" s="1" t="s">
        <v>411</v>
      </c>
      <c r="BA254" s="1" t="s">
        <v>412</v>
      </c>
      <c r="BB254" s="1" t="s">
        <v>163</v>
      </c>
      <c r="BC254" s="1" t="s">
        <v>59</v>
      </c>
      <c r="BD254" s="1" t="s">
        <v>413</v>
      </c>
    </row>
    <row r="255" spans="1:56" ht="15.75" customHeight="1">
      <c r="A255" s="1">
        <v>20051</v>
      </c>
      <c r="B255" s="1">
        <v>0</v>
      </c>
      <c r="C255" s="1">
        <v>2</v>
      </c>
      <c r="D255" s="1">
        <v>2</v>
      </c>
      <c r="E255" s="1">
        <v>3</v>
      </c>
      <c r="I255" s="1">
        <v>5.8999999999999997E-2</v>
      </c>
      <c r="K255" s="1">
        <v>7</v>
      </c>
      <c r="AH255" s="1">
        <v>3</v>
      </c>
      <c r="AU255" s="1">
        <v>26</v>
      </c>
      <c r="AV255" s="1" t="s">
        <v>410</v>
      </c>
      <c r="AW255" s="1" t="s">
        <v>164</v>
      </c>
      <c r="AX255" s="1" t="s">
        <v>182</v>
      </c>
      <c r="AY255" s="1" t="s">
        <v>156</v>
      </c>
      <c r="AZ255" s="1" t="s">
        <v>414</v>
      </c>
      <c r="BA255" s="1" t="s">
        <v>412</v>
      </c>
      <c r="BB255" s="1" t="s">
        <v>163</v>
      </c>
      <c r="BC255" s="1" t="s">
        <v>59</v>
      </c>
      <c r="BD255" s="1" t="s">
        <v>413</v>
      </c>
    </row>
    <row r="256" spans="1:56" ht="15.75" customHeight="1">
      <c r="A256" s="1">
        <v>20051</v>
      </c>
      <c r="B256" s="1">
        <v>0</v>
      </c>
      <c r="C256" s="1">
        <v>2</v>
      </c>
      <c r="D256" s="1">
        <v>2</v>
      </c>
      <c r="E256" s="1">
        <v>4</v>
      </c>
      <c r="I256" s="1">
        <v>6.4000000000000001E-2</v>
      </c>
      <c r="K256" s="1">
        <v>13</v>
      </c>
      <c r="AH256" s="1">
        <v>3</v>
      </c>
      <c r="AU256" s="1">
        <v>30</v>
      </c>
      <c r="AV256" s="1" t="s">
        <v>410</v>
      </c>
      <c r="AW256" s="1" t="s">
        <v>165</v>
      </c>
      <c r="AX256" s="1" t="s">
        <v>182</v>
      </c>
      <c r="AY256" s="1" t="s">
        <v>166</v>
      </c>
      <c r="AZ256" s="1" t="s">
        <v>414</v>
      </c>
      <c r="BA256" s="1" t="s">
        <v>412</v>
      </c>
      <c r="BB256" s="1" t="s">
        <v>167</v>
      </c>
      <c r="BC256" s="1" t="s">
        <v>59</v>
      </c>
      <c r="BD256" s="1" t="s">
        <v>413</v>
      </c>
    </row>
    <row r="257" spans="1:56" ht="15.75" customHeight="1">
      <c r="A257" s="1">
        <v>20052</v>
      </c>
      <c r="B257" s="1">
        <v>1</v>
      </c>
      <c r="C257" s="1">
        <v>0</v>
      </c>
      <c r="D257" s="1">
        <v>2</v>
      </c>
      <c r="E257" s="1">
        <v>0</v>
      </c>
      <c r="I257" s="1">
        <v>4.3999999999999997E-2</v>
      </c>
      <c r="K257" s="1">
        <v>7</v>
      </c>
      <c r="O257" s="1">
        <v>6</v>
      </c>
      <c r="P257" s="1"/>
      <c r="AN257" s="1">
        <v>8</v>
      </c>
      <c r="AU257" s="1">
        <v>22</v>
      </c>
      <c r="AV257" s="1" t="s">
        <v>415</v>
      </c>
      <c r="AW257" s="1" t="s">
        <v>201</v>
      </c>
      <c r="AX257" s="1" t="s">
        <v>416</v>
      </c>
      <c r="AY257" s="1" t="s">
        <v>217</v>
      </c>
      <c r="AZ257" s="1" t="s">
        <v>417</v>
      </c>
      <c r="BA257" s="1" t="s">
        <v>418</v>
      </c>
      <c r="BB257" s="1" t="s">
        <v>205</v>
      </c>
      <c r="BC257" s="1" t="s">
        <v>59</v>
      </c>
      <c r="BD257" s="1" t="s">
        <v>419</v>
      </c>
    </row>
    <row r="258" spans="1:56" ht="15.75" customHeight="1">
      <c r="A258" s="1">
        <v>20052</v>
      </c>
      <c r="B258" s="1">
        <v>1</v>
      </c>
      <c r="C258" s="1">
        <v>0</v>
      </c>
      <c r="D258" s="1">
        <v>2</v>
      </c>
      <c r="E258" s="1">
        <v>1</v>
      </c>
      <c r="I258" s="1">
        <v>4.9000000000000002E-2</v>
      </c>
      <c r="K258" s="1">
        <v>7</v>
      </c>
      <c r="O258" s="1">
        <v>6</v>
      </c>
      <c r="P258" s="1"/>
      <c r="AN258" s="1">
        <v>16</v>
      </c>
      <c r="AU258" s="1">
        <v>22</v>
      </c>
      <c r="AV258" s="1" t="s">
        <v>415</v>
      </c>
      <c r="AW258" s="1" t="s">
        <v>207</v>
      </c>
      <c r="AX258" s="1" t="s">
        <v>420</v>
      </c>
      <c r="AY258" s="1" t="s">
        <v>217</v>
      </c>
      <c r="AZ258" s="1" t="s">
        <v>417</v>
      </c>
      <c r="BA258" s="1" t="s">
        <v>418</v>
      </c>
      <c r="BB258" s="1" t="s">
        <v>205</v>
      </c>
      <c r="BC258" s="1" t="s">
        <v>59</v>
      </c>
      <c r="BD258" s="1" t="s">
        <v>419</v>
      </c>
    </row>
    <row r="259" spans="1:56" ht="15.75" customHeight="1">
      <c r="A259" s="1">
        <v>20052</v>
      </c>
      <c r="B259" s="1">
        <v>1</v>
      </c>
      <c r="C259" s="1">
        <v>0</v>
      </c>
      <c r="D259" s="1">
        <v>2</v>
      </c>
      <c r="E259" s="1">
        <v>2</v>
      </c>
      <c r="I259" s="1">
        <v>5.3999999999999999E-2</v>
      </c>
      <c r="K259" s="1">
        <v>7</v>
      </c>
      <c r="O259" s="1">
        <v>6</v>
      </c>
      <c r="P259" s="1"/>
      <c r="AN259" s="1">
        <v>16</v>
      </c>
      <c r="AU259" s="1">
        <v>26</v>
      </c>
      <c r="AV259" s="1" t="s">
        <v>415</v>
      </c>
      <c r="AW259" s="1" t="s">
        <v>208</v>
      </c>
      <c r="AX259" s="1" t="s">
        <v>420</v>
      </c>
      <c r="AY259" s="1" t="s">
        <v>217</v>
      </c>
      <c r="AZ259" s="1" t="s">
        <v>417</v>
      </c>
      <c r="BA259" s="1" t="s">
        <v>418</v>
      </c>
      <c r="BB259" s="1" t="s">
        <v>209</v>
      </c>
      <c r="BC259" s="1" t="s">
        <v>59</v>
      </c>
      <c r="BD259" s="1" t="s">
        <v>419</v>
      </c>
    </row>
    <row r="260" spans="1:56" ht="15.75" customHeight="1">
      <c r="A260" s="1">
        <v>20052</v>
      </c>
      <c r="B260" s="1">
        <v>1</v>
      </c>
      <c r="C260" s="1">
        <v>0</v>
      </c>
      <c r="D260" s="1">
        <v>2</v>
      </c>
      <c r="E260" s="1">
        <v>3</v>
      </c>
      <c r="I260" s="1">
        <v>5.8999999999999997E-2</v>
      </c>
      <c r="K260" s="1">
        <v>7</v>
      </c>
      <c r="O260" s="1">
        <v>11</v>
      </c>
      <c r="P260" s="1"/>
      <c r="AN260" s="1">
        <v>16</v>
      </c>
      <c r="AU260" s="1">
        <v>26</v>
      </c>
      <c r="AV260" s="1" t="s">
        <v>415</v>
      </c>
      <c r="AW260" s="1" t="s">
        <v>210</v>
      </c>
      <c r="AX260" s="1" t="s">
        <v>420</v>
      </c>
      <c r="AY260" s="1" t="s">
        <v>217</v>
      </c>
      <c r="AZ260" s="1" t="s">
        <v>421</v>
      </c>
      <c r="BA260" s="1" t="s">
        <v>418</v>
      </c>
      <c r="BB260" s="1" t="s">
        <v>209</v>
      </c>
      <c r="BC260" s="1" t="s">
        <v>59</v>
      </c>
      <c r="BD260" s="1" t="s">
        <v>419</v>
      </c>
    </row>
    <row r="261" spans="1:56" ht="15.75" customHeight="1">
      <c r="A261" s="1">
        <v>20052</v>
      </c>
      <c r="B261" s="1">
        <v>1</v>
      </c>
      <c r="C261" s="1">
        <v>0</v>
      </c>
      <c r="D261" s="1">
        <v>2</v>
      </c>
      <c r="E261" s="1">
        <v>4</v>
      </c>
      <c r="I261" s="1">
        <v>6.4000000000000001E-2</v>
      </c>
      <c r="K261" s="1">
        <v>13</v>
      </c>
      <c r="O261" s="1">
        <v>11</v>
      </c>
      <c r="P261" s="1"/>
      <c r="AN261" s="1">
        <v>16</v>
      </c>
      <c r="AU261" s="1">
        <v>30</v>
      </c>
      <c r="AV261" s="1" t="s">
        <v>415</v>
      </c>
      <c r="AW261" s="1" t="s">
        <v>212</v>
      </c>
      <c r="AX261" s="1" t="s">
        <v>420</v>
      </c>
      <c r="AY261" s="1" t="s">
        <v>221</v>
      </c>
      <c r="AZ261" s="1" t="s">
        <v>421</v>
      </c>
      <c r="BA261" s="1" t="s">
        <v>418</v>
      </c>
      <c r="BB261" s="1" t="s">
        <v>214</v>
      </c>
      <c r="BC261" s="1" t="s">
        <v>59</v>
      </c>
      <c r="BD261" s="1" t="s">
        <v>419</v>
      </c>
    </row>
    <row r="262" spans="1:56" ht="15.75" customHeight="1">
      <c r="A262" s="1">
        <v>20053</v>
      </c>
      <c r="B262" s="1">
        <v>2</v>
      </c>
      <c r="C262" s="1">
        <v>1</v>
      </c>
      <c r="D262" s="1">
        <v>2</v>
      </c>
      <c r="E262" s="1">
        <v>0</v>
      </c>
      <c r="G262" s="1">
        <v>37</v>
      </c>
      <c r="K262" s="1">
        <v>7</v>
      </c>
      <c r="Z262" s="1">
        <v>1</v>
      </c>
      <c r="AL262" s="1">
        <v>4</v>
      </c>
      <c r="AU262" s="1">
        <v>22</v>
      </c>
      <c r="AV262" s="1" t="s">
        <v>422</v>
      </c>
      <c r="AW262" s="1" t="s">
        <v>916</v>
      </c>
      <c r="AX262" s="1" t="s">
        <v>423</v>
      </c>
      <c r="AY262" s="1" t="s">
        <v>141</v>
      </c>
      <c r="AZ262" s="1" t="s">
        <v>376</v>
      </c>
      <c r="BA262" s="1" t="s">
        <v>424</v>
      </c>
      <c r="BB262" s="1" t="s">
        <v>143</v>
      </c>
      <c r="BC262" s="1" t="s">
        <v>59</v>
      </c>
      <c r="BD262" s="1" t="s">
        <v>425</v>
      </c>
    </row>
    <row r="263" spans="1:56" ht="15.75" customHeight="1">
      <c r="A263" s="1">
        <v>20053</v>
      </c>
      <c r="B263" s="1">
        <v>2</v>
      </c>
      <c r="C263" s="1">
        <v>1</v>
      </c>
      <c r="D263" s="1">
        <v>2</v>
      </c>
      <c r="E263" s="1">
        <v>1</v>
      </c>
      <c r="G263" s="1">
        <v>40</v>
      </c>
      <c r="K263" s="1">
        <v>7</v>
      </c>
      <c r="Z263" s="1">
        <v>2</v>
      </c>
      <c r="AL263" s="1">
        <v>4</v>
      </c>
      <c r="AU263" s="1">
        <v>22</v>
      </c>
      <c r="AV263" s="1" t="s">
        <v>422</v>
      </c>
      <c r="AW263" s="1" t="s">
        <v>917</v>
      </c>
      <c r="AX263" s="1" t="s">
        <v>426</v>
      </c>
      <c r="AY263" s="1" t="s">
        <v>141</v>
      </c>
      <c r="AZ263" s="1" t="s">
        <v>376</v>
      </c>
      <c r="BA263" s="1" t="s">
        <v>424</v>
      </c>
      <c r="BB263" s="1" t="s">
        <v>143</v>
      </c>
      <c r="BC263" s="1" t="s">
        <v>59</v>
      </c>
      <c r="BD263" s="1" t="s">
        <v>425</v>
      </c>
    </row>
    <row r="264" spans="1:56" ht="15.75" customHeight="1">
      <c r="A264" s="1">
        <v>20053</v>
      </c>
      <c r="B264" s="1">
        <v>2</v>
      </c>
      <c r="C264" s="1">
        <v>1</v>
      </c>
      <c r="D264" s="1">
        <v>2</v>
      </c>
      <c r="E264" s="1">
        <v>2</v>
      </c>
      <c r="G264" s="1">
        <v>43</v>
      </c>
      <c r="K264" s="1">
        <v>7</v>
      </c>
      <c r="Z264" s="1">
        <v>2</v>
      </c>
      <c r="AL264" s="1">
        <v>4</v>
      </c>
      <c r="AU264" s="1">
        <v>26</v>
      </c>
      <c r="AV264" s="1" t="s">
        <v>422</v>
      </c>
      <c r="AW264" s="1" t="s">
        <v>918</v>
      </c>
      <c r="AX264" s="1" t="s">
        <v>426</v>
      </c>
      <c r="AY264" s="1" t="s">
        <v>141</v>
      </c>
      <c r="AZ264" s="1" t="s">
        <v>376</v>
      </c>
      <c r="BA264" s="1" t="s">
        <v>424</v>
      </c>
      <c r="BB264" s="1" t="s">
        <v>148</v>
      </c>
      <c r="BC264" s="1" t="s">
        <v>59</v>
      </c>
      <c r="BD264" s="1" t="s">
        <v>425</v>
      </c>
    </row>
    <row r="265" spans="1:56" ht="15.75" customHeight="1">
      <c r="A265" s="1">
        <v>20053</v>
      </c>
      <c r="B265" s="1">
        <v>2</v>
      </c>
      <c r="C265" s="1">
        <v>1</v>
      </c>
      <c r="D265" s="1">
        <v>2</v>
      </c>
      <c r="E265" s="1">
        <v>3</v>
      </c>
      <c r="G265" s="1">
        <v>46</v>
      </c>
      <c r="K265" s="1">
        <v>7</v>
      </c>
      <c r="Z265" s="1">
        <v>2</v>
      </c>
      <c r="AL265" s="1">
        <v>8</v>
      </c>
      <c r="AU265" s="1">
        <v>26</v>
      </c>
      <c r="AV265" s="1" t="s">
        <v>422</v>
      </c>
      <c r="AW265" s="1" t="s">
        <v>919</v>
      </c>
      <c r="AX265" s="1" t="s">
        <v>426</v>
      </c>
      <c r="AY265" s="1" t="s">
        <v>141</v>
      </c>
      <c r="AZ265" s="1" t="s">
        <v>379</v>
      </c>
      <c r="BA265" s="1" t="s">
        <v>424</v>
      </c>
      <c r="BB265" s="1" t="s">
        <v>148</v>
      </c>
      <c r="BC265" s="1" t="s">
        <v>59</v>
      </c>
      <c r="BD265" s="1" t="s">
        <v>425</v>
      </c>
    </row>
    <row r="266" spans="1:56" ht="15.75" customHeight="1">
      <c r="A266" s="1">
        <v>20053</v>
      </c>
      <c r="B266" s="1">
        <v>2</v>
      </c>
      <c r="C266" s="1">
        <v>1</v>
      </c>
      <c r="D266" s="1">
        <v>2</v>
      </c>
      <c r="E266" s="1">
        <v>4</v>
      </c>
      <c r="G266" s="1">
        <v>49</v>
      </c>
      <c r="K266" s="1">
        <v>13</v>
      </c>
      <c r="Z266" s="1">
        <v>2</v>
      </c>
      <c r="AL266" s="1">
        <v>8</v>
      </c>
      <c r="AU266" s="1">
        <v>30</v>
      </c>
      <c r="AV266" s="1" t="s">
        <v>422</v>
      </c>
      <c r="AW266" s="1" t="s">
        <v>920</v>
      </c>
      <c r="AX266" s="1" t="s">
        <v>426</v>
      </c>
      <c r="AY266" s="1" t="s">
        <v>151</v>
      </c>
      <c r="AZ266" s="1" t="s">
        <v>379</v>
      </c>
      <c r="BA266" s="1" t="s">
        <v>424</v>
      </c>
      <c r="BB266" s="1" t="s">
        <v>152</v>
      </c>
      <c r="BC266" s="1" t="s">
        <v>59</v>
      </c>
      <c r="BD266" s="1" t="s">
        <v>425</v>
      </c>
    </row>
    <row r="267" spans="1:56" ht="15.75" customHeight="1">
      <c r="A267" s="1">
        <v>20054</v>
      </c>
      <c r="B267" s="1">
        <v>2</v>
      </c>
      <c r="C267" s="1">
        <v>2</v>
      </c>
      <c r="D267" s="1">
        <v>2</v>
      </c>
      <c r="E267" s="1">
        <v>0</v>
      </c>
      <c r="I267" s="1">
        <v>4.3999999999999997E-2</v>
      </c>
      <c r="K267" s="1">
        <v>7</v>
      </c>
      <c r="AG267" s="1">
        <v>2</v>
      </c>
      <c r="AS267" s="1">
        <v>5</v>
      </c>
      <c r="AU267" s="1">
        <v>22</v>
      </c>
      <c r="AV267" s="1" t="s">
        <v>427</v>
      </c>
      <c r="AW267" s="1" t="s">
        <v>139</v>
      </c>
      <c r="AX267" s="1" t="s">
        <v>428</v>
      </c>
      <c r="AY267" s="1" t="s">
        <v>141</v>
      </c>
      <c r="AZ267" s="1" t="s">
        <v>429</v>
      </c>
      <c r="BA267" s="1" t="s">
        <v>430</v>
      </c>
      <c r="BB267" s="1" t="s">
        <v>143</v>
      </c>
      <c r="BC267" s="1" t="s">
        <v>59</v>
      </c>
      <c r="BD267" s="1" t="s">
        <v>431</v>
      </c>
    </row>
    <row r="268" spans="1:56" ht="15.75" customHeight="1">
      <c r="A268" s="1">
        <v>20054</v>
      </c>
      <c r="B268" s="1">
        <v>2</v>
      </c>
      <c r="C268" s="1">
        <v>2</v>
      </c>
      <c r="D268" s="1">
        <v>2</v>
      </c>
      <c r="E268" s="1">
        <v>1</v>
      </c>
      <c r="I268" s="1">
        <v>4.9000000000000002E-2</v>
      </c>
      <c r="K268" s="1">
        <v>7</v>
      </c>
      <c r="AG268" s="1">
        <v>2</v>
      </c>
      <c r="AS268" s="1">
        <v>8</v>
      </c>
      <c r="AU268" s="1">
        <v>22</v>
      </c>
      <c r="AV268" s="1" t="s">
        <v>427</v>
      </c>
      <c r="AW268" s="1" t="s">
        <v>145</v>
      </c>
      <c r="AX268" s="1" t="s">
        <v>432</v>
      </c>
      <c r="AY268" s="1" t="s">
        <v>141</v>
      </c>
      <c r="AZ268" s="1" t="s">
        <v>429</v>
      </c>
      <c r="BA268" s="1" t="s">
        <v>430</v>
      </c>
      <c r="BB268" s="1" t="s">
        <v>143</v>
      </c>
      <c r="BC268" s="1" t="s">
        <v>59</v>
      </c>
      <c r="BD268" s="1" t="s">
        <v>431</v>
      </c>
    </row>
    <row r="269" spans="1:56" ht="15.75" customHeight="1">
      <c r="A269" s="1">
        <v>20054</v>
      </c>
      <c r="B269" s="1">
        <v>2</v>
      </c>
      <c r="C269" s="1">
        <v>2</v>
      </c>
      <c r="D269" s="1">
        <v>2</v>
      </c>
      <c r="E269" s="1">
        <v>2</v>
      </c>
      <c r="I269" s="1">
        <v>5.3999999999999999E-2</v>
      </c>
      <c r="K269" s="1">
        <v>7</v>
      </c>
      <c r="AG269" s="1">
        <v>2</v>
      </c>
      <c r="AS269" s="1">
        <v>8</v>
      </c>
      <c r="AU269" s="1">
        <v>26</v>
      </c>
      <c r="AV269" s="1" t="s">
        <v>427</v>
      </c>
      <c r="AW269" s="1" t="s">
        <v>147</v>
      </c>
      <c r="AX269" s="1" t="s">
        <v>432</v>
      </c>
      <c r="AY269" s="1" t="s">
        <v>141</v>
      </c>
      <c r="AZ269" s="1" t="s">
        <v>429</v>
      </c>
      <c r="BA269" s="1" t="s">
        <v>430</v>
      </c>
      <c r="BB269" s="1" t="s">
        <v>148</v>
      </c>
      <c r="BC269" s="1" t="s">
        <v>59</v>
      </c>
      <c r="BD269" s="1" t="s">
        <v>431</v>
      </c>
    </row>
    <row r="270" spans="1:56" ht="15.75" customHeight="1">
      <c r="A270" s="1">
        <v>20054</v>
      </c>
      <c r="B270" s="1">
        <v>2</v>
      </c>
      <c r="C270" s="1">
        <v>2</v>
      </c>
      <c r="D270" s="1">
        <v>2</v>
      </c>
      <c r="E270" s="1">
        <v>3</v>
      </c>
      <c r="I270" s="1">
        <v>5.8999999999999997E-2</v>
      </c>
      <c r="K270" s="1">
        <v>7</v>
      </c>
      <c r="AG270" s="1">
        <v>3</v>
      </c>
      <c r="AS270" s="1">
        <v>8</v>
      </c>
      <c r="AU270" s="1">
        <v>26</v>
      </c>
      <c r="AV270" s="1" t="s">
        <v>427</v>
      </c>
      <c r="AW270" s="1" t="s">
        <v>149</v>
      </c>
      <c r="AX270" s="1" t="s">
        <v>432</v>
      </c>
      <c r="AY270" s="1" t="s">
        <v>141</v>
      </c>
      <c r="AZ270" s="1" t="s">
        <v>433</v>
      </c>
      <c r="BA270" s="1" t="s">
        <v>430</v>
      </c>
      <c r="BB270" s="1" t="s">
        <v>148</v>
      </c>
      <c r="BC270" s="1" t="s">
        <v>59</v>
      </c>
      <c r="BD270" s="1" t="s">
        <v>431</v>
      </c>
    </row>
    <row r="271" spans="1:56" ht="15.75" customHeight="1">
      <c r="A271" s="1">
        <v>20054</v>
      </c>
      <c r="B271" s="1">
        <v>2</v>
      </c>
      <c r="C271" s="1">
        <v>2</v>
      </c>
      <c r="D271" s="1">
        <v>2</v>
      </c>
      <c r="E271" s="1">
        <v>4</v>
      </c>
      <c r="I271" s="1">
        <v>6.4000000000000001E-2</v>
      </c>
      <c r="K271" s="1">
        <v>13</v>
      </c>
      <c r="AG271" s="1">
        <v>3</v>
      </c>
      <c r="AS271" s="1">
        <v>8</v>
      </c>
      <c r="AU271" s="1">
        <v>30</v>
      </c>
      <c r="AV271" s="1" t="s">
        <v>427</v>
      </c>
      <c r="AW271" s="1" t="s">
        <v>150</v>
      </c>
      <c r="AX271" s="1" t="s">
        <v>432</v>
      </c>
      <c r="AY271" s="1" t="s">
        <v>151</v>
      </c>
      <c r="AZ271" s="1" t="s">
        <v>433</v>
      </c>
      <c r="BA271" s="1" t="s">
        <v>430</v>
      </c>
      <c r="BB271" s="1" t="s">
        <v>152</v>
      </c>
      <c r="BC271" s="1" t="s">
        <v>59</v>
      </c>
      <c r="BD271" s="1" t="s">
        <v>431</v>
      </c>
    </row>
    <row r="272" spans="1:56" ht="15.75" customHeight="1">
      <c r="A272" s="2">
        <v>20055</v>
      </c>
      <c r="B272" s="2">
        <v>0</v>
      </c>
      <c r="C272" s="2">
        <v>3</v>
      </c>
      <c r="D272" s="2">
        <v>2</v>
      </c>
      <c r="E272" s="1">
        <v>0</v>
      </c>
      <c r="G272" s="1">
        <v>37</v>
      </c>
      <c r="V272" s="2">
        <v>9</v>
      </c>
      <c r="AA272" s="2">
        <v>3</v>
      </c>
      <c r="AL272" s="2">
        <v>4</v>
      </c>
      <c r="AU272" s="1">
        <v>22</v>
      </c>
      <c r="AV272" s="1" t="s">
        <v>434</v>
      </c>
      <c r="AW272" s="1" t="s">
        <v>927</v>
      </c>
      <c r="AX272" s="2" t="s">
        <v>435</v>
      </c>
      <c r="AY272" s="2" t="s">
        <v>436</v>
      </c>
      <c r="AZ272" s="2" t="s">
        <v>387</v>
      </c>
      <c r="BA272" s="2" t="s">
        <v>437</v>
      </c>
      <c r="BB272" s="1" t="s">
        <v>158</v>
      </c>
      <c r="BC272" s="1" t="s">
        <v>59</v>
      </c>
      <c r="BD272" s="2" t="s">
        <v>438</v>
      </c>
    </row>
    <row r="273" spans="1:56" ht="15.75" customHeight="1">
      <c r="A273" s="2">
        <v>20055</v>
      </c>
      <c r="B273" s="2">
        <v>0</v>
      </c>
      <c r="C273" s="2">
        <v>3</v>
      </c>
      <c r="D273" s="2">
        <v>2</v>
      </c>
      <c r="E273" s="1">
        <v>1</v>
      </c>
      <c r="G273" s="1">
        <v>40</v>
      </c>
      <c r="V273" s="2">
        <v>9</v>
      </c>
      <c r="AA273" s="2">
        <v>5</v>
      </c>
      <c r="AL273" s="2">
        <v>4</v>
      </c>
      <c r="AU273" s="1">
        <v>22</v>
      </c>
      <c r="AV273" s="1" t="s">
        <v>434</v>
      </c>
      <c r="AW273" s="1" t="s">
        <v>925</v>
      </c>
      <c r="AX273" s="2" t="s">
        <v>439</v>
      </c>
      <c r="AY273" s="2" t="s">
        <v>436</v>
      </c>
      <c r="AZ273" s="2" t="s">
        <v>387</v>
      </c>
      <c r="BA273" s="2" t="s">
        <v>437</v>
      </c>
      <c r="BB273" s="1" t="s">
        <v>158</v>
      </c>
      <c r="BC273" s="1" t="s">
        <v>59</v>
      </c>
      <c r="BD273" s="2" t="s">
        <v>438</v>
      </c>
    </row>
    <row r="274" spans="1:56" ht="15.75" customHeight="1">
      <c r="A274" s="2">
        <v>20055</v>
      </c>
      <c r="B274" s="2">
        <v>0</v>
      </c>
      <c r="C274" s="2">
        <v>3</v>
      </c>
      <c r="D274" s="2">
        <v>2</v>
      </c>
      <c r="E274" s="1">
        <v>2</v>
      </c>
      <c r="G274" s="1">
        <v>43</v>
      </c>
      <c r="V274" s="2">
        <v>9</v>
      </c>
      <c r="AA274" s="2">
        <v>5</v>
      </c>
      <c r="AL274" s="2">
        <v>4</v>
      </c>
      <c r="AU274" s="1">
        <v>26</v>
      </c>
      <c r="AV274" s="1" t="s">
        <v>434</v>
      </c>
      <c r="AW274" s="1" t="s">
        <v>929</v>
      </c>
      <c r="AX274" s="2" t="s">
        <v>439</v>
      </c>
      <c r="AY274" s="2" t="s">
        <v>436</v>
      </c>
      <c r="AZ274" s="2" t="s">
        <v>387</v>
      </c>
      <c r="BA274" s="2" t="s">
        <v>437</v>
      </c>
      <c r="BB274" s="1" t="s">
        <v>163</v>
      </c>
      <c r="BC274" s="1" t="s">
        <v>59</v>
      </c>
      <c r="BD274" s="2" t="s">
        <v>438</v>
      </c>
    </row>
    <row r="275" spans="1:56" ht="15.75" customHeight="1">
      <c r="A275" s="2">
        <v>20055</v>
      </c>
      <c r="B275" s="2">
        <v>0</v>
      </c>
      <c r="C275" s="2">
        <v>3</v>
      </c>
      <c r="D275" s="2">
        <v>2</v>
      </c>
      <c r="E275" s="1">
        <v>3</v>
      </c>
      <c r="G275" s="1">
        <v>46</v>
      </c>
      <c r="V275" s="2">
        <v>9</v>
      </c>
      <c r="AA275" s="2">
        <v>5</v>
      </c>
      <c r="AL275" s="2">
        <v>8</v>
      </c>
      <c r="AU275" s="1">
        <v>26</v>
      </c>
      <c r="AV275" s="1" t="s">
        <v>434</v>
      </c>
      <c r="AW275" s="1" t="s">
        <v>931</v>
      </c>
      <c r="AX275" s="2" t="s">
        <v>439</v>
      </c>
      <c r="AY275" s="2" t="s">
        <v>436</v>
      </c>
      <c r="AZ275" s="2" t="s">
        <v>390</v>
      </c>
      <c r="BA275" s="2" t="s">
        <v>437</v>
      </c>
      <c r="BB275" s="1" t="s">
        <v>163</v>
      </c>
      <c r="BC275" s="1" t="s">
        <v>59</v>
      </c>
      <c r="BD275" s="2" t="s">
        <v>438</v>
      </c>
    </row>
    <row r="276" spans="1:56" ht="15.75" customHeight="1">
      <c r="A276" s="2">
        <v>20055</v>
      </c>
      <c r="B276" s="2">
        <v>0</v>
      </c>
      <c r="C276" s="2">
        <v>3</v>
      </c>
      <c r="D276" s="2">
        <v>2</v>
      </c>
      <c r="E276" s="1">
        <v>4</v>
      </c>
      <c r="G276" s="1">
        <v>49</v>
      </c>
      <c r="V276" s="2">
        <v>18</v>
      </c>
      <c r="AA276" s="2">
        <v>5</v>
      </c>
      <c r="AL276" s="2">
        <v>8</v>
      </c>
      <c r="AU276" s="1">
        <v>30</v>
      </c>
      <c r="AV276" s="1" t="s">
        <v>434</v>
      </c>
      <c r="AW276" s="1" t="s">
        <v>933</v>
      </c>
      <c r="AX276" s="2" t="s">
        <v>439</v>
      </c>
      <c r="AY276" s="2" t="s">
        <v>440</v>
      </c>
      <c r="AZ276" s="2" t="s">
        <v>390</v>
      </c>
      <c r="BA276" s="2" t="s">
        <v>437</v>
      </c>
      <c r="BB276" s="1" t="s">
        <v>167</v>
      </c>
      <c r="BC276" s="1" t="s">
        <v>59</v>
      </c>
      <c r="BD276" s="2" t="s">
        <v>438</v>
      </c>
    </row>
    <row r="277" spans="1:56" ht="15.75" customHeight="1">
      <c r="A277" s="2">
        <v>20056</v>
      </c>
      <c r="B277" s="2">
        <v>2</v>
      </c>
      <c r="C277" s="2">
        <v>2</v>
      </c>
      <c r="D277" s="2">
        <v>2</v>
      </c>
      <c r="E277" s="1">
        <v>0</v>
      </c>
      <c r="I277" s="1">
        <v>4.3999999999999997E-2</v>
      </c>
      <c r="K277" s="1">
        <v>7</v>
      </c>
      <c r="AF277" s="2">
        <v>2</v>
      </c>
      <c r="AR277" s="2">
        <v>6</v>
      </c>
      <c r="AU277" s="1">
        <v>22</v>
      </c>
      <c r="AV277" s="2" t="s">
        <v>441</v>
      </c>
      <c r="AW277" s="1" t="s">
        <v>139</v>
      </c>
      <c r="AX277" s="2" t="s">
        <v>442</v>
      </c>
      <c r="AY277" s="1" t="s">
        <v>141</v>
      </c>
      <c r="AZ277" s="2" t="s">
        <v>443</v>
      </c>
      <c r="BA277" s="2" t="s">
        <v>444</v>
      </c>
      <c r="BB277" s="1" t="s">
        <v>143</v>
      </c>
      <c r="BC277" s="1" t="s">
        <v>59</v>
      </c>
      <c r="BD277" s="2" t="s">
        <v>445</v>
      </c>
    </row>
    <row r="278" spans="1:56" ht="15.75" customHeight="1">
      <c r="A278" s="2">
        <v>20056</v>
      </c>
      <c r="B278" s="2">
        <v>2</v>
      </c>
      <c r="C278" s="2">
        <v>2</v>
      </c>
      <c r="D278" s="2">
        <v>2</v>
      </c>
      <c r="E278" s="1">
        <v>1</v>
      </c>
      <c r="I278" s="1">
        <v>4.9000000000000002E-2</v>
      </c>
      <c r="K278" s="1">
        <v>7</v>
      </c>
      <c r="AF278" s="2">
        <v>3</v>
      </c>
      <c r="AR278" s="2">
        <v>6</v>
      </c>
      <c r="AU278" s="1">
        <v>22</v>
      </c>
      <c r="AV278" s="2" t="s">
        <v>441</v>
      </c>
      <c r="AW278" s="1" t="s">
        <v>145</v>
      </c>
      <c r="AX278" s="2" t="s">
        <v>446</v>
      </c>
      <c r="AY278" s="1" t="s">
        <v>141</v>
      </c>
      <c r="AZ278" s="2" t="s">
        <v>443</v>
      </c>
      <c r="BA278" s="2" t="s">
        <v>444</v>
      </c>
      <c r="BB278" s="1" t="s">
        <v>143</v>
      </c>
      <c r="BC278" s="1" t="s">
        <v>59</v>
      </c>
      <c r="BD278" s="2" t="s">
        <v>445</v>
      </c>
    </row>
    <row r="279" spans="1:56" ht="15.75" customHeight="1">
      <c r="A279" s="2">
        <v>20056</v>
      </c>
      <c r="B279" s="2">
        <v>2</v>
      </c>
      <c r="C279" s="2">
        <v>2</v>
      </c>
      <c r="D279" s="2">
        <v>2</v>
      </c>
      <c r="E279" s="1">
        <v>2</v>
      </c>
      <c r="I279" s="1">
        <v>5.3999999999999999E-2</v>
      </c>
      <c r="K279" s="1">
        <v>7</v>
      </c>
      <c r="AF279" s="2">
        <v>3</v>
      </c>
      <c r="AR279" s="2">
        <v>6</v>
      </c>
      <c r="AU279" s="1">
        <v>26</v>
      </c>
      <c r="AV279" s="2" t="s">
        <v>441</v>
      </c>
      <c r="AW279" s="1" t="s">
        <v>147</v>
      </c>
      <c r="AX279" s="2" t="s">
        <v>446</v>
      </c>
      <c r="AY279" s="1" t="s">
        <v>141</v>
      </c>
      <c r="AZ279" s="2" t="s">
        <v>443</v>
      </c>
      <c r="BA279" s="2" t="s">
        <v>444</v>
      </c>
      <c r="BB279" s="1" t="s">
        <v>148</v>
      </c>
      <c r="BC279" s="1" t="s">
        <v>59</v>
      </c>
      <c r="BD279" s="2" t="s">
        <v>445</v>
      </c>
    </row>
    <row r="280" spans="1:56" ht="15.75" customHeight="1">
      <c r="A280" s="2">
        <v>20056</v>
      </c>
      <c r="B280" s="2">
        <v>2</v>
      </c>
      <c r="C280" s="2">
        <v>2</v>
      </c>
      <c r="D280" s="2">
        <v>2</v>
      </c>
      <c r="E280" s="1">
        <v>3</v>
      </c>
      <c r="I280" s="1">
        <v>5.8999999999999997E-2</v>
      </c>
      <c r="K280" s="1">
        <v>7</v>
      </c>
      <c r="AF280" s="2">
        <v>3</v>
      </c>
      <c r="AR280" s="2">
        <v>11</v>
      </c>
      <c r="AU280" s="1">
        <v>26</v>
      </c>
      <c r="AV280" s="2" t="s">
        <v>441</v>
      </c>
      <c r="AW280" s="1" t="s">
        <v>149</v>
      </c>
      <c r="AX280" s="2" t="s">
        <v>446</v>
      </c>
      <c r="AY280" s="1" t="s">
        <v>141</v>
      </c>
      <c r="AZ280" s="2" t="s">
        <v>447</v>
      </c>
      <c r="BA280" s="2" t="s">
        <v>444</v>
      </c>
      <c r="BB280" s="1" t="s">
        <v>148</v>
      </c>
      <c r="BC280" s="1" t="s">
        <v>59</v>
      </c>
      <c r="BD280" s="2" t="s">
        <v>445</v>
      </c>
    </row>
    <row r="281" spans="1:56" ht="15.75" customHeight="1">
      <c r="A281" s="2">
        <v>20056</v>
      </c>
      <c r="B281" s="2">
        <v>2</v>
      </c>
      <c r="C281" s="2">
        <v>2</v>
      </c>
      <c r="D281" s="2">
        <v>2</v>
      </c>
      <c r="E281" s="1">
        <v>4</v>
      </c>
      <c r="I281" s="1">
        <v>6.4000000000000001E-2</v>
      </c>
      <c r="K281" s="1">
        <v>13</v>
      </c>
      <c r="AF281" s="2">
        <v>3</v>
      </c>
      <c r="AR281" s="2">
        <v>11</v>
      </c>
      <c r="AU281" s="1">
        <v>30</v>
      </c>
      <c r="AV281" s="2" t="s">
        <v>441</v>
      </c>
      <c r="AW281" s="1" t="s">
        <v>150</v>
      </c>
      <c r="AX281" s="2" t="s">
        <v>446</v>
      </c>
      <c r="AY281" s="1" t="s">
        <v>151</v>
      </c>
      <c r="AZ281" s="2" t="s">
        <v>447</v>
      </c>
      <c r="BA281" s="2" t="s">
        <v>444</v>
      </c>
      <c r="BB281" s="1" t="s">
        <v>152</v>
      </c>
      <c r="BC281" s="1" t="s">
        <v>59</v>
      </c>
      <c r="BD281" s="2" t="s">
        <v>445</v>
      </c>
    </row>
    <row r="282" spans="1:56" ht="15.75" customHeight="1">
      <c r="A282" s="2">
        <v>20057</v>
      </c>
      <c r="B282" s="2">
        <v>1</v>
      </c>
      <c r="C282" s="2">
        <v>1</v>
      </c>
      <c r="D282" s="2">
        <v>2</v>
      </c>
      <c r="E282" s="1">
        <v>0</v>
      </c>
      <c r="F282" s="1">
        <v>10.5</v>
      </c>
      <c r="I282" s="1">
        <v>4.3999999999999997E-2</v>
      </c>
      <c r="K282" s="1">
        <v>7</v>
      </c>
      <c r="AL282" s="2">
        <v>4</v>
      </c>
      <c r="AU282" s="1">
        <v>22</v>
      </c>
      <c r="AV282" s="1" t="s">
        <v>448</v>
      </c>
      <c r="AW282" s="1" t="s">
        <v>201</v>
      </c>
      <c r="AX282" s="1" t="s">
        <v>216</v>
      </c>
      <c r="AY282" s="1" t="s">
        <v>217</v>
      </c>
      <c r="AZ282" s="1" t="s">
        <v>318</v>
      </c>
      <c r="BA282" s="2" t="s">
        <v>449</v>
      </c>
      <c r="BB282" s="1" t="s">
        <v>205</v>
      </c>
      <c r="BC282" s="1" t="s">
        <v>59</v>
      </c>
      <c r="BD282" s="2" t="s">
        <v>450</v>
      </c>
    </row>
    <row r="283" spans="1:56" ht="15.75" customHeight="1">
      <c r="A283" s="2">
        <v>20057</v>
      </c>
      <c r="B283" s="2">
        <v>1</v>
      </c>
      <c r="C283" s="2">
        <v>1</v>
      </c>
      <c r="D283" s="2">
        <v>2</v>
      </c>
      <c r="E283" s="1">
        <v>1</v>
      </c>
      <c r="F283" s="1">
        <v>21</v>
      </c>
      <c r="I283" s="1">
        <v>4.9000000000000002E-2</v>
      </c>
      <c r="K283" s="1">
        <v>7</v>
      </c>
      <c r="AL283" s="2">
        <v>4</v>
      </c>
      <c r="AU283" s="1">
        <v>22</v>
      </c>
      <c r="AV283" s="1" t="s">
        <v>448</v>
      </c>
      <c r="AW283" s="1" t="s">
        <v>207</v>
      </c>
      <c r="AX283" s="1" t="s">
        <v>220</v>
      </c>
      <c r="AY283" s="1" t="s">
        <v>217</v>
      </c>
      <c r="AZ283" s="1" t="s">
        <v>318</v>
      </c>
      <c r="BA283" s="2" t="s">
        <v>449</v>
      </c>
      <c r="BB283" s="1" t="s">
        <v>205</v>
      </c>
      <c r="BC283" s="1" t="s">
        <v>59</v>
      </c>
      <c r="BD283" s="2" t="s">
        <v>450</v>
      </c>
    </row>
    <row r="284" spans="1:56" ht="15.75" customHeight="1">
      <c r="A284" s="2">
        <v>20057</v>
      </c>
      <c r="B284" s="2">
        <v>1</v>
      </c>
      <c r="C284" s="2">
        <v>1</v>
      </c>
      <c r="D284" s="2">
        <v>2</v>
      </c>
      <c r="E284" s="1">
        <v>2</v>
      </c>
      <c r="F284" s="1">
        <v>21</v>
      </c>
      <c r="I284" s="1">
        <v>5.3999999999999999E-2</v>
      </c>
      <c r="K284" s="1">
        <v>7</v>
      </c>
      <c r="AL284" s="2">
        <v>4</v>
      </c>
      <c r="AU284" s="1">
        <v>26</v>
      </c>
      <c r="AV284" s="1" t="s">
        <v>448</v>
      </c>
      <c r="AW284" s="1" t="s">
        <v>208</v>
      </c>
      <c r="AX284" s="1" t="s">
        <v>220</v>
      </c>
      <c r="AY284" s="1" t="s">
        <v>217</v>
      </c>
      <c r="AZ284" s="1" t="s">
        <v>318</v>
      </c>
      <c r="BA284" s="2" t="s">
        <v>449</v>
      </c>
      <c r="BB284" s="1" t="s">
        <v>209</v>
      </c>
      <c r="BC284" s="1" t="s">
        <v>59</v>
      </c>
      <c r="BD284" s="2" t="s">
        <v>450</v>
      </c>
    </row>
    <row r="285" spans="1:56" ht="15.75" customHeight="1">
      <c r="A285" s="2">
        <v>20057</v>
      </c>
      <c r="B285" s="2">
        <v>1</v>
      </c>
      <c r="C285" s="2">
        <v>1</v>
      </c>
      <c r="D285" s="2">
        <v>2</v>
      </c>
      <c r="E285" s="1">
        <v>3</v>
      </c>
      <c r="F285" s="1">
        <v>21</v>
      </c>
      <c r="I285" s="1">
        <v>5.8999999999999997E-2</v>
      </c>
      <c r="K285" s="1">
        <v>7</v>
      </c>
      <c r="AL285" s="2">
        <v>8</v>
      </c>
      <c r="AU285" s="1">
        <v>26</v>
      </c>
      <c r="AV285" s="1" t="s">
        <v>448</v>
      </c>
      <c r="AW285" s="1" t="s">
        <v>210</v>
      </c>
      <c r="AX285" s="1" t="s">
        <v>220</v>
      </c>
      <c r="AY285" s="1" t="s">
        <v>217</v>
      </c>
      <c r="AZ285" s="1" t="s">
        <v>320</v>
      </c>
      <c r="BA285" s="2" t="s">
        <v>449</v>
      </c>
      <c r="BB285" s="1" t="s">
        <v>209</v>
      </c>
      <c r="BC285" s="1" t="s">
        <v>59</v>
      </c>
      <c r="BD285" s="2" t="s">
        <v>450</v>
      </c>
    </row>
    <row r="286" spans="1:56" ht="15.75" customHeight="1">
      <c r="A286" s="2">
        <v>20057</v>
      </c>
      <c r="B286" s="2">
        <v>1</v>
      </c>
      <c r="C286" s="2">
        <v>1</v>
      </c>
      <c r="D286" s="2">
        <v>2</v>
      </c>
      <c r="E286" s="1">
        <v>4</v>
      </c>
      <c r="F286" s="1">
        <v>21</v>
      </c>
      <c r="I286" s="1">
        <v>6.4000000000000001E-2</v>
      </c>
      <c r="K286" s="1">
        <v>13</v>
      </c>
      <c r="AL286" s="2">
        <v>8</v>
      </c>
      <c r="AU286" s="1">
        <v>30</v>
      </c>
      <c r="AV286" s="1" t="s">
        <v>448</v>
      </c>
      <c r="AW286" s="1" t="s">
        <v>212</v>
      </c>
      <c r="AX286" s="1" t="s">
        <v>220</v>
      </c>
      <c r="AY286" s="1" t="s">
        <v>221</v>
      </c>
      <c r="AZ286" s="1" t="s">
        <v>320</v>
      </c>
      <c r="BA286" s="2" t="s">
        <v>449</v>
      </c>
      <c r="BB286" s="1" t="s">
        <v>214</v>
      </c>
      <c r="BC286" s="1" t="s">
        <v>59</v>
      </c>
      <c r="BD286" s="2" t="s">
        <v>450</v>
      </c>
    </row>
    <row r="287" spans="1:56" ht="15.75" customHeight="1">
      <c r="A287" s="2">
        <v>20058</v>
      </c>
      <c r="B287" s="2">
        <v>0</v>
      </c>
      <c r="C287" s="2">
        <v>2</v>
      </c>
      <c r="D287" s="2">
        <v>2</v>
      </c>
      <c r="E287" s="1">
        <v>0</v>
      </c>
      <c r="G287" s="1">
        <v>37</v>
      </c>
      <c r="Q287" s="2">
        <v>5</v>
      </c>
      <c r="R287" s="2"/>
      <c r="AL287" s="2">
        <v>4</v>
      </c>
      <c r="AS287" s="1">
        <v>5</v>
      </c>
      <c r="AU287" s="1">
        <v>22</v>
      </c>
      <c r="AV287" s="1" t="s">
        <v>451</v>
      </c>
      <c r="AW287" s="1" t="s">
        <v>927</v>
      </c>
      <c r="AX287" s="2" t="s">
        <v>452</v>
      </c>
      <c r="AY287" s="2" t="s">
        <v>242</v>
      </c>
      <c r="AZ287" s="2" t="s">
        <v>387</v>
      </c>
      <c r="BA287" s="2" t="s">
        <v>453</v>
      </c>
      <c r="BB287" s="1" t="s">
        <v>158</v>
      </c>
      <c r="BC287" s="1" t="s">
        <v>59</v>
      </c>
      <c r="BD287" s="2" t="s">
        <v>454</v>
      </c>
    </row>
    <row r="288" spans="1:56" ht="15.75" customHeight="1">
      <c r="A288" s="2">
        <v>20058</v>
      </c>
      <c r="B288" s="2">
        <v>0</v>
      </c>
      <c r="C288" s="2">
        <v>2</v>
      </c>
      <c r="D288" s="2">
        <v>2</v>
      </c>
      <c r="E288" s="1">
        <v>1</v>
      </c>
      <c r="G288" s="1">
        <v>40</v>
      </c>
      <c r="Q288" s="2">
        <v>5</v>
      </c>
      <c r="R288" s="2"/>
      <c r="AL288" s="2">
        <v>4</v>
      </c>
      <c r="AS288" s="1">
        <v>8</v>
      </c>
      <c r="AU288" s="1">
        <v>22</v>
      </c>
      <c r="AV288" s="1" t="s">
        <v>451</v>
      </c>
      <c r="AW288" s="1" t="s">
        <v>925</v>
      </c>
      <c r="AX288" s="2" t="s">
        <v>455</v>
      </c>
      <c r="AY288" s="2" t="s">
        <v>242</v>
      </c>
      <c r="AZ288" s="2" t="s">
        <v>387</v>
      </c>
      <c r="BA288" s="2" t="s">
        <v>453</v>
      </c>
      <c r="BB288" s="1" t="s">
        <v>158</v>
      </c>
      <c r="BC288" s="1" t="s">
        <v>59</v>
      </c>
      <c r="BD288" s="2" t="s">
        <v>454</v>
      </c>
    </row>
    <row r="289" spans="1:56" ht="15.75" customHeight="1">
      <c r="A289" s="2">
        <v>20058</v>
      </c>
      <c r="B289" s="2">
        <v>0</v>
      </c>
      <c r="C289" s="2">
        <v>2</v>
      </c>
      <c r="D289" s="2">
        <v>2</v>
      </c>
      <c r="E289" s="1">
        <v>2</v>
      </c>
      <c r="G289" s="1">
        <v>43</v>
      </c>
      <c r="Q289" s="2">
        <v>5</v>
      </c>
      <c r="R289" s="2"/>
      <c r="AL289" s="2">
        <v>4</v>
      </c>
      <c r="AS289" s="1">
        <v>8</v>
      </c>
      <c r="AU289" s="1">
        <v>26</v>
      </c>
      <c r="AV289" s="1" t="s">
        <v>451</v>
      </c>
      <c r="AW289" s="1" t="s">
        <v>929</v>
      </c>
      <c r="AX289" s="2" t="s">
        <v>455</v>
      </c>
      <c r="AY289" s="2" t="s">
        <v>242</v>
      </c>
      <c r="AZ289" s="2" t="s">
        <v>387</v>
      </c>
      <c r="BA289" s="2" t="s">
        <v>453</v>
      </c>
      <c r="BB289" s="1" t="s">
        <v>163</v>
      </c>
      <c r="BC289" s="1" t="s">
        <v>59</v>
      </c>
      <c r="BD289" s="2" t="s">
        <v>454</v>
      </c>
    </row>
    <row r="290" spans="1:56" ht="15.75" customHeight="1">
      <c r="A290" s="2">
        <v>20058</v>
      </c>
      <c r="B290" s="2">
        <v>0</v>
      </c>
      <c r="C290" s="2">
        <v>2</v>
      </c>
      <c r="D290" s="2">
        <v>2</v>
      </c>
      <c r="E290" s="1">
        <v>3</v>
      </c>
      <c r="G290" s="1">
        <v>46</v>
      </c>
      <c r="Q290" s="2">
        <v>5</v>
      </c>
      <c r="R290" s="2"/>
      <c r="AL290" s="2">
        <v>8</v>
      </c>
      <c r="AS290" s="1">
        <v>8</v>
      </c>
      <c r="AU290" s="1">
        <v>26</v>
      </c>
      <c r="AV290" s="1" t="s">
        <v>451</v>
      </c>
      <c r="AW290" s="1" t="s">
        <v>931</v>
      </c>
      <c r="AX290" s="2" t="s">
        <v>455</v>
      </c>
      <c r="AY290" s="2" t="s">
        <v>242</v>
      </c>
      <c r="AZ290" s="2" t="s">
        <v>390</v>
      </c>
      <c r="BA290" s="2" t="s">
        <v>453</v>
      </c>
      <c r="BB290" s="1" t="s">
        <v>163</v>
      </c>
      <c r="BC290" s="1" t="s">
        <v>59</v>
      </c>
      <c r="BD290" s="2" t="s">
        <v>454</v>
      </c>
    </row>
    <row r="291" spans="1:56" ht="15.75" customHeight="1">
      <c r="A291" s="2">
        <v>20058</v>
      </c>
      <c r="B291" s="2">
        <v>0</v>
      </c>
      <c r="C291" s="2">
        <v>2</v>
      </c>
      <c r="D291" s="2">
        <v>2</v>
      </c>
      <c r="E291" s="1">
        <v>4</v>
      </c>
      <c r="G291" s="1">
        <v>49</v>
      </c>
      <c r="Q291" s="2">
        <v>10</v>
      </c>
      <c r="R291" s="2"/>
      <c r="AL291" s="2">
        <v>8</v>
      </c>
      <c r="AS291" s="1">
        <v>8</v>
      </c>
      <c r="AU291" s="1">
        <v>30</v>
      </c>
      <c r="AV291" s="1" t="s">
        <v>451</v>
      </c>
      <c r="AW291" s="1" t="s">
        <v>933</v>
      </c>
      <c r="AX291" s="2" t="s">
        <v>455</v>
      </c>
      <c r="AY291" s="2" t="s">
        <v>246</v>
      </c>
      <c r="AZ291" s="2" t="s">
        <v>390</v>
      </c>
      <c r="BA291" s="2" t="s">
        <v>453</v>
      </c>
      <c r="BB291" s="1" t="s">
        <v>167</v>
      </c>
      <c r="BC291" s="1" t="s">
        <v>59</v>
      </c>
      <c r="BD291" s="2" t="s">
        <v>454</v>
      </c>
    </row>
    <row r="292" spans="1:56" ht="15.75" customHeight="1">
      <c r="A292" s="2">
        <v>20059</v>
      </c>
      <c r="B292" s="2">
        <v>2</v>
      </c>
      <c r="C292" s="2">
        <v>1</v>
      </c>
      <c r="D292" s="2">
        <v>2</v>
      </c>
      <c r="E292" s="1">
        <v>0</v>
      </c>
      <c r="F292" s="1">
        <v>10.5</v>
      </c>
      <c r="I292" s="1">
        <v>4.3999999999999997E-2</v>
      </c>
      <c r="AL292" s="2">
        <v>4</v>
      </c>
      <c r="AR292" s="2">
        <v>6</v>
      </c>
      <c r="AU292" s="1">
        <v>22</v>
      </c>
      <c r="AV292" s="2" t="s">
        <v>456</v>
      </c>
      <c r="AW292" s="1" t="s">
        <v>139</v>
      </c>
      <c r="AX292" s="1" t="s">
        <v>140</v>
      </c>
      <c r="AY292" s="2" t="s">
        <v>443</v>
      </c>
      <c r="AZ292" s="1" t="s">
        <v>376</v>
      </c>
      <c r="BA292" s="2" t="s">
        <v>457</v>
      </c>
      <c r="BB292" s="1" t="s">
        <v>143</v>
      </c>
      <c r="BC292" s="1" t="s">
        <v>59</v>
      </c>
      <c r="BD292" s="2" t="s">
        <v>458</v>
      </c>
    </row>
    <row r="293" spans="1:56" ht="15.75" customHeight="1">
      <c r="A293" s="2">
        <v>20059</v>
      </c>
      <c r="B293" s="2">
        <v>2</v>
      </c>
      <c r="C293" s="2">
        <v>1</v>
      </c>
      <c r="D293" s="2">
        <v>2</v>
      </c>
      <c r="E293" s="1">
        <v>1</v>
      </c>
      <c r="F293" s="1">
        <v>21</v>
      </c>
      <c r="I293" s="1">
        <v>4.9000000000000002E-2</v>
      </c>
      <c r="AL293" s="2">
        <v>4</v>
      </c>
      <c r="AR293" s="2">
        <v>6</v>
      </c>
      <c r="AU293" s="1">
        <v>22</v>
      </c>
      <c r="AV293" s="2" t="s">
        <v>456</v>
      </c>
      <c r="AW293" s="1" t="s">
        <v>145</v>
      </c>
      <c r="AX293" s="1" t="s">
        <v>146</v>
      </c>
      <c r="AY293" s="2" t="s">
        <v>443</v>
      </c>
      <c r="AZ293" s="1" t="s">
        <v>376</v>
      </c>
      <c r="BA293" s="2" t="s">
        <v>457</v>
      </c>
      <c r="BB293" s="1" t="s">
        <v>143</v>
      </c>
      <c r="BC293" s="1" t="s">
        <v>59</v>
      </c>
      <c r="BD293" s="2" t="s">
        <v>458</v>
      </c>
    </row>
    <row r="294" spans="1:56" ht="15.75" customHeight="1">
      <c r="A294" s="2">
        <v>20059</v>
      </c>
      <c r="B294" s="2">
        <v>2</v>
      </c>
      <c r="C294" s="2">
        <v>1</v>
      </c>
      <c r="D294" s="2">
        <v>2</v>
      </c>
      <c r="E294" s="1">
        <v>2</v>
      </c>
      <c r="F294" s="1">
        <v>21</v>
      </c>
      <c r="I294" s="1">
        <v>5.3999999999999999E-2</v>
      </c>
      <c r="AL294" s="2">
        <v>4</v>
      </c>
      <c r="AR294" s="2">
        <v>6</v>
      </c>
      <c r="AU294" s="1">
        <v>26</v>
      </c>
      <c r="AV294" s="2" t="s">
        <v>456</v>
      </c>
      <c r="AW294" s="1" t="s">
        <v>147</v>
      </c>
      <c r="AX294" s="1" t="s">
        <v>146</v>
      </c>
      <c r="AY294" s="2" t="s">
        <v>443</v>
      </c>
      <c r="AZ294" s="1" t="s">
        <v>376</v>
      </c>
      <c r="BA294" s="2" t="s">
        <v>457</v>
      </c>
      <c r="BB294" s="1" t="s">
        <v>148</v>
      </c>
      <c r="BC294" s="1" t="s">
        <v>59</v>
      </c>
      <c r="BD294" s="2" t="s">
        <v>458</v>
      </c>
    </row>
    <row r="295" spans="1:56" ht="15.75" customHeight="1">
      <c r="A295" s="2">
        <v>20059</v>
      </c>
      <c r="B295" s="2">
        <v>2</v>
      </c>
      <c r="C295" s="2">
        <v>1</v>
      </c>
      <c r="D295" s="2">
        <v>2</v>
      </c>
      <c r="E295" s="1">
        <v>3</v>
      </c>
      <c r="F295" s="1">
        <v>21</v>
      </c>
      <c r="I295" s="1">
        <v>5.8999999999999997E-2</v>
      </c>
      <c r="AL295" s="2">
        <v>8</v>
      </c>
      <c r="AR295" s="2">
        <v>6</v>
      </c>
      <c r="AU295" s="1">
        <v>26</v>
      </c>
      <c r="AV295" s="2" t="s">
        <v>456</v>
      </c>
      <c r="AW295" s="1" t="s">
        <v>149</v>
      </c>
      <c r="AX295" s="1" t="s">
        <v>146</v>
      </c>
      <c r="AY295" s="2" t="s">
        <v>443</v>
      </c>
      <c r="AZ295" s="1" t="s">
        <v>379</v>
      </c>
      <c r="BA295" s="2" t="s">
        <v>457</v>
      </c>
      <c r="BB295" s="1" t="s">
        <v>148</v>
      </c>
      <c r="BC295" s="1" t="s">
        <v>59</v>
      </c>
      <c r="BD295" s="2" t="s">
        <v>458</v>
      </c>
    </row>
    <row r="296" spans="1:56" ht="15.75" customHeight="1">
      <c r="A296" s="2">
        <v>20059</v>
      </c>
      <c r="B296" s="2">
        <v>2</v>
      </c>
      <c r="C296" s="2">
        <v>1</v>
      </c>
      <c r="D296" s="2">
        <v>2</v>
      </c>
      <c r="E296" s="1">
        <v>4</v>
      </c>
      <c r="F296" s="1">
        <v>21</v>
      </c>
      <c r="I296" s="1">
        <v>6.4000000000000001E-2</v>
      </c>
      <c r="AL296" s="2">
        <v>8</v>
      </c>
      <c r="AR296" s="2">
        <v>11</v>
      </c>
      <c r="AU296" s="1">
        <v>30</v>
      </c>
      <c r="AV296" s="2" t="s">
        <v>456</v>
      </c>
      <c r="AW296" s="1" t="s">
        <v>150</v>
      </c>
      <c r="AX296" s="1" t="s">
        <v>146</v>
      </c>
      <c r="AY296" s="2" t="s">
        <v>447</v>
      </c>
      <c r="AZ296" s="1" t="s">
        <v>379</v>
      </c>
      <c r="BA296" s="2" t="s">
        <v>457</v>
      </c>
      <c r="BB296" s="1" t="s">
        <v>152</v>
      </c>
      <c r="BC296" s="1" t="s">
        <v>59</v>
      </c>
      <c r="BD296" s="2" t="s">
        <v>458</v>
      </c>
    </row>
    <row r="297" spans="1:56" ht="15.75" customHeight="1">
      <c r="A297" s="2">
        <v>20060</v>
      </c>
      <c r="B297" s="2">
        <v>0</v>
      </c>
      <c r="C297" s="2">
        <v>1</v>
      </c>
      <c r="D297" s="2">
        <v>2</v>
      </c>
      <c r="E297" s="1">
        <v>0</v>
      </c>
      <c r="I297" s="1">
        <v>4.3999999999999997E-2</v>
      </c>
      <c r="L297" s="2">
        <v>8</v>
      </c>
      <c r="V297" s="2">
        <v>9</v>
      </c>
      <c r="AL297" s="2">
        <v>4</v>
      </c>
      <c r="AU297" s="1">
        <v>22</v>
      </c>
      <c r="AV297" s="1" t="s">
        <v>459</v>
      </c>
      <c r="AW297" s="1" t="s">
        <v>154</v>
      </c>
      <c r="AX297" s="2" t="s">
        <v>460</v>
      </c>
      <c r="AY297" s="2" t="s">
        <v>387</v>
      </c>
      <c r="AZ297" s="2" t="s">
        <v>436</v>
      </c>
      <c r="BA297" s="2" t="s">
        <v>461</v>
      </c>
      <c r="BB297" s="1" t="s">
        <v>158</v>
      </c>
      <c r="BC297" s="1" t="s">
        <v>59</v>
      </c>
      <c r="BD297" s="2" t="s">
        <v>462</v>
      </c>
    </row>
    <row r="298" spans="1:56" ht="15.75" customHeight="1">
      <c r="A298" s="2">
        <v>20060</v>
      </c>
      <c r="B298" s="2">
        <v>0</v>
      </c>
      <c r="C298" s="2">
        <v>1</v>
      </c>
      <c r="D298" s="2">
        <v>2</v>
      </c>
      <c r="E298" s="1">
        <v>1</v>
      </c>
      <c r="I298" s="1">
        <v>4.9000000000000002E-2</v>
      </c>
      <c r="L298" s="2">
        <v>15</v>
      </c>
      <c r="V298" s="2">
        <v>9</v>
      </c>
      <c r="AL298" s="2">
        <v>4</v>
      </c>
      <c r="AU298" s="1">
        <v>22</v>
      </c>
      <c r="AV298" s="1" t="s">
        <v>459</v>
      </c>
      <c r="AW298" s="1" t="s">
        <v>160</v>
      </c>
      <c r="AX298" s="2" t="s">
        <v>463</v>
      </c>
      <c r="AY298" s="2" t="s">
        <v>387</v>
      </c>
      <c r="AZ298" s="2" t="s">
        <v>436</v>
      </c>
      <c r="BA298" s="2" t="s">
        <v>461</v>
      </c>
      <c r="BB298" s="1" t="s">
        <v>158</v>
      </c>
      <c r="BC298" s="1" t="s">
        <v>59</v>
      </c>
      <c r="BD298" s="2" t="s">
        <v>462</v>
      </c>
    </row>
    <row r="299" spans="1:56" ht="15.75" customHeight="1">
      <c r="A299" s="2">
        <v>20060</v>
      </c>
      <c r="B299" s="2">
        <v>0</v>
      </c>
      <c r="C299" s="2">
        <v>1</v>
      </c>
      <c r="D299" s="2">
        <v>2</v>
      </c>
      <c r="E299" s="1">
        <v>2</v>
      </c>
      <c r="I299" s="1">
        <v>5.3999999999999999E-2</v>
      </c>
      <c r="L299" s="2">
        <v>15</v>
      </c>
      <c r="V299" s="2">
        <v>9</v>
      </c>
      <c r="AL299" s="2">
        <v>4</v>
      </c>
      <c r="AU299" s="1">
        <v>26</v>
      </c>
      <c r="AV299" s="1" t="s">
        <v>459</v>
      </c>
      <c r="AW299" s="1" t="s">
        <v>162</v>
      </c>
      <c r="AX299" s="2" t="s">
        <v>463</v>
      </c>
      <c r="AY299" s="2" t="s">
        <v>387</v>
      </c>
      <c r="AZ299" s="2" t="s">
        <v>436</v>
      </c>
      <c r="BA299" s="2" t="s">
        <v>461</v>
      </c>
      <c r="BB299" s="1" t="s">
        <v>163</v>
      </c>
      <c r="BC299" s="1" t="s">
        <v>59</v>
      </c>
      <c r="BD299" s="2" t="s">
        <v>462</v>
      </c>
    </row>
    <row r="300" spans="1:56" ht="15.75" customHeight="1">
      <c r="A300" s="2">
        <v>20060</v>
      </c>
      <c r="B300" s="2">
        <v>0</v>
      </c>
      <c r="C300" s="2">
        <v>1</v>
      </c>
      <c r="D300" s="2">
        <v>2</v>
      </c>
      <c r="E300" s="1">
        <v>3</v>
      </c>
      <c r="I300" s="1">
        <v>5.8999999999999997E-2</v>
      </c>
      <c r="L300" s="2">
        <v>15</v>
      </c>
      <c r="V300" s="2">
        <v>9</v>
      </c>
      <c r="AL300" s="2">
        <v>4</v>
      </c>
      <c r="AU300" s="1">
        <v>26</v>
      </c>
      <c r="AV300" s="1" t="s">
        <v>459</v>
      </c>
      <c r="AW300" s="1" t="s">
        <v>164</v>
      </c>
      <c r="AX300" s="2" t="s">
        <v>463</v>
      </c>
      <c r="AY300" s="2" t="s">
        <v>387</v>
      </c>
      <c r="AZ300" s="2" t="s">
        <v>440</v>
      </c>
      <c r="BA300" s="2" t="s">
        <v>461</v>
      </c>
      <c r="BB300" s="1" t="s">
        <v>163</v>
      </c>
      <c r="BC300" s="1" t="s">
        <v>59</v>
      </c>
      <c r="BD300" s="2" t="s">
        <v>462</v>
      </c>
    </row>
    <row r="301" spans="1:56" ht="15.75" customHeight="1">
      <c r="A301" s="2">
        <v>20060</v>
      </c>
      <c r="B301" s="2">
        <v>0</v>
      </c>
      <c r="C301" s="2">
        <v>1</v>
      </c>
      <c r="D301" s="2">
        <v>2</v>
      </c>
      <c r="E301" s="1">
        <v>4</v>
      </c>
      <c r="I301" s="1">
        <v>6.4000000000000001E-2</v>
      </c>
      <c r="L301" s="2">
        <v>15</v>
      </c>
      <c r="V301" s="2">
        <v>18</v>
      </c>
      <c r="AL301" s="2">
        <v>8</v>
      </c>
      <c r="AU301" s="1">
        <v>30</v>
      </c>
      <c r="AV301" s="1" t="s">
        <v>459</v>
      </c>
      <c r="AW301" s="1" t="s">
        <v>165</v>
      </c>
      <c r="AX301" s="2" t="s">
        <v>463</v>
      </c>
      <c r="AY301" s="2" t="s">
        <v>390</v>
      </c>
      <c r="AZ301" s="2" t="s">
        <v>440</v>
      </c>
      <c r="BA301" s="2" t="s">
        <v>461</v>
      </c>
      <c r="BB301" s="1" t="s">
        <v>167</v>
      </c>
      <c r="BC301" s="1" t="s">
        <v>59</v>
      </c>
      <c r="BD301" s="2" t="s">
        <v>462</v>
      </c>
    </row>
    <row r="302" spans="1:56" ht="15.75" customHeight="1">
      <c r="A302" s="2">
        <v>20061</v>
      </c>
      <c r="B302" s="2">
        <v>0</v>
      </c>
      <c r="C302" s="2">
        <v>2</v>
      </c>
      <c r="D302" s="2">
        <v>2</v>
      </c>
      <c r="E302" s="1">
        <v>0</v>
      </c>
      <c r="I302" s="1">
        <v>4.3999999999999997E-2</v>
      </c>
      <c r="K302" s="1">
        <v>7</v>
      </c>
      <c r="AL302" s="2">
        <v>4</v>
      </c>
      <c r="AR302" s="2">
        <v>6</v>
      </c>
      <c r="AU302" s="1">
        <v>22</v>
      </c>
      <c r="AV302" s="2" t="s">
        <v>464</v>
      </c>
      <c r="AW302" s="1" t="s">
        <v>154</v>
      </c>
      <c r="AX302" s="2" t="s">
        <v>387</v>
      </c>
      <c r="AY302" s="1" t="s">
        <v>156</v>
      </c>
      <c r="AZ302" s="2" t="s">
        <v>465</v>
      </c>
      <c r="BA302" s="2" t="s">
        <v>466</v>
      </c>
      <c r="BB302" s="1" t="s">
        <v>158</v>
      </c>
      <c r="BC302" s="1" t="s">
        <v>59</v>
      </c>
      <c r="BD302" s="2" t="s">
        <v>467</v>
      </c>
    </row>
    <row r="303" spans="1:56" ht="15.75" customHeight="1">
      <c r="A303" s="2">
        <v>20061</v>
      </c>
      <c r="B303" s="2">
        <v>0</v>
      </c>
      <c r="C303" s="2">
        <v>2</v>
      </c>
      <c r="D303" s="2">
        <v>2</v>
      </c>
      <c r="E303" s="1">
        <v>1</v>
      </c>
      <c r="I303" s="1">
        <v>4.9000000000000002E-2</v>
      </c>
      <c r="K303" s="1">
        <v>7</v>
      </c>
      <c r="AL303" s="2">
        <v>8</v>
      </c>
      <c r="AR303" s="2">
        <v>6</v>
      </c>
      <c r="AU303" s="1">
        <v>22</v>
      </c>
      <c r="AV303" s="2" t="s">
        <v>464</v>
      </c>
      <c r="AW303" s="1" t="s">
        <v>160</v>
      </c>
      <c r="AX303" s="2" t="s">
        <v>390</v>
      </c>
      <c r="AY303" s="1" t="s">
        <v>156</v>
      </c>
      <c r="AZ303" s="2" t="s">
        <v>465</v>
      </c>
      <c r="BA303" s="2" t="s">
        <v>466</v>
      </c>
      <c r="BB303" s="1" t="s">
        <v>158</v>
      </c>
      <c r="BC303" s="1" t="s">
        <v>59</v>
      </c>
      <c r="BD303" s="2" t="s">
        <v>467</v>
      </c>
    </row>
    <row r="304" spans="1:56" ht="15.75" customHeight="1">
      <c r="A304" s="2">
        <v>20061</v>
      </c>
      <c r="B304" s="2">
        <v>0</v>
      </c>
      <c r="C304" s="2">
        <v>2</v>
      </c>
      <c r="D304" s="2">
        <v>2</v>
      </c>
      <c r="E304" s="1">
        <v>2</v>
      </c>
      <c r="I304" s="1">
        <v>5.3999999999999999E-2</v>
      </c>
      <c r="K304" s="1">
        <v>7</v>
      </c>
      <c r="AL304" s="2">
        <v>8</v>
      </c>
      <c r="AR304" s="2">
        <v>6</v>
      </c>
      <c r="AU304" s="1">
        <v>26</v>
      </c>
      <c r="AV304" s="2" t="s">
        <v>464</v>
      </c>
      <c r="AW304" s="1" t="s">
        <v>162</v>
      </c>
      <c r="AX304" s="2" t="s">
        <v>390</v>
      </c>
      <c r="AY304" s="1" t="s">
        <v>156</v>
      </c>
      <c r="AZ304" s="2" t="s">
        <v>465</v>
      </c>
      <c r="BA304" s="2" t="s">
        <v>466</v>
      </c>
      <c r="BB304" s="1" t="s">
        <v>163</v>
      </c>
      <c r="BC304" s="1" t="s">
        <v>59</v>
      </c>
      <c r="BD304" s="2" t="s">
        <v>467</v>
      </c>
    </row>
    <row r="305" spans="1:56" ht="15.75" customHeight="1">
      <c r="A305" s="2">
        <v>20061</v>
      </c>
      <c r="B305" s="2">
        <v>0</v>
      </c>
      <c r="C305" s="2">
        <v>2</v>
      </c>
      <c r="D305" s="2">
        <v>2</v>
      </c>
      <c r="E305" s="1">
        <v>3</v>
      </c>
      <c r="I305" s="1">
        <v>5.8999999999999997E-2</v>
      </c>
      <c r="K305" s="1">
        <v>7</v>
      </c>
      <c r="AL305" s="2">
        <v>8</v>
      </c>
      <c r="AR305" s="2">
        <v>11</v>
      </c>
      <c r="AU305" s="1">
        <v>26</v>
      </c>
      <c r="AV305" s="2" t="s">
        <v>464</v>
      </c>
      <c r="AW305" s="1" t="s">
        <v>164</v>
      </c>
      <c r="AX305" s="2" t="s">
        <v>390</v>
      </c>
      <c r="AY305" s="1" t="s">
        <v>156</v>
      </c>
      <c r="AZ305" s="2" t="s">
        <v>468</v>
      </c>
      <c r="BA305" s="2" t="s">
        <v>466</v>
      </c>
      <c r="BB305" s="1" t="s">
        <v>163</v>
      </c>
      <c r="BC305" s="1" t="s">
        <v>59</v>
      </c>
      <c r="BD305" s="2" t="s">
        <v>467</v>
      </c>
    </row>
    <row r="306" spans="1:56" ht="15.75" customHeight="1">
      <c r="A306" s="2">
        <v>20061</v>
      </c>
      <c r="B306" s="2">
        <v>0</v>
      </c>
      <c r="C306" s="2">
        <v>2</v>
      </c>
      <c r="D306" s="2">
        <v>2</v>
      </c>
      <c r="E306" s="1">
        <v>4</v>
      </c>
      <c r="I306" s="1">
        <v>6.4000000000000001E-2</v>
      </c>
      <c r="K306" s="1">
        <v>13</v>
      </c>
      <c r="AL306" s="2">
        <v>8</v>
      </c>
      <c r="AR306" s="2">
        <v>11</v>
      </c>
      <c r="AU306" s="1">
        <v>30</v>
      </c>
      <c r="AV306" s="2" t="s">
        <v>464</v>
      </c>
      <c r="AW306" s="1" t="s">
        <v>165</v>
      </c>
      <c r="AX306" s="2" t="s">
        <v>390</v>
      </c>
      <c r="AY306" s="1" t="s">
        <v>166</v>
      </c>
      <c r="AZ306" s="2" t="s">
        <v>468</v>
      </c>
      <c r="BA306" s="2" t="s">
        <v>466</v>
      </c>
      <c r="BB306" s="1" t="s">
        <v>167</v>
      </c>
      <c r="BC306" s="1" t="s">
        <v>59</v>
      </c>
      <c r="BD306" s="2" t="s">
        <v>467</v>
      </c>
    </row>
    <row r="307" spans="1:56" ht="15.75" customHeight="1">
      <c r="A307" s="2">
        <v>20062</v>
      </c>
      <c r="B307" s="2">
        <v>1</v>
      </c>
      <c r="C307" s="2">
        <v>3</v>
      </c>
      <c r="D307" s="2">
        <v>2</v>
      </c>
      <c r="E307" s="1">
        <v>0</v>
      </c>
      <c r="I307" s="1">
        <v>4.3999999999999997E-2</v>
      </c>
      <c r="K307" s="1">
        <v>7</v>
      </c>
      <c r="O307" s="1">
        <v>6</v>
      </c>
      <c r="P307" s="1"/>
      <c r="AH307" s="2">
        <v>2</v>
      </c>
      <c r="AU307" s="1">
        <v>22</v>
      </c>
      <c r="AV307" s="2" t="s">
        <v>469</v>
      </c>
      <c r="AW307" s="1" t="s">
        <v>201</v>
      </c>
      <c r="AX307" s="2" t="s">
        <v>470</v>
      </c>
      <c r="AY307" s="1" t="s">
        <v>217</v>
      </c>
      <c r="AZ307" s="2" t="s">
        <v>417</v>
      </c>
      <c r="BA307" s="2" t="s">
        <v>471</v>
      </c>
      <c r="BB307" s="1" t="s">
        <v>205</v>
      </c>
      <c r="BC307" s="1" t="s">
        <v>59</v>
      </c>
      <c r="BD307" s="2" t="s">
        <v>472</v>
      </c>
    </row>
    <row r="308" spans="1:56" ht="15.75" customHeight="1">
      <c r="A308" s="2">
        <v>20062</v>
      </c>
      <c r="B308" s="2">
        <v>1</v>
      </c>
      <c r="C308" s="2">
        <v>3</v>
      </c>
      <c r="D308" s="2">
        <v>2</v>
      </c>
      <c r="E308" s="1">
        <v>1</v>
      </c>
      <c r="I308" s="1">
        <v>4.9000000000000002E-2</v>
      </c>
      <c r="K308" s="1">
        <v>7</v>
      </c>
      <c r="O308" s="1">
        <v>6</v>
      </c>
      <c r="P308" s="1"/>
      <c r="AH308" s="2">
        <v>3</v>
      </c>
      <c r="AU308" s="1">
        <v>22</v>
      </c>
      <c r="AV308" s="2" t="s">
        <v>469</v>
      </c>
      <c r="AW308" s="1" t="s">
        <v>207</v>
      </c>
      <c r="AX308" s="2" t="s">
        <v>473</v>
      </c>
      <c r="AY308" s="1" t="s">
        <v>217</v>
      </c>
      <c r="AZ308" s="2" t="s">
        <v>417</v>
      </c>
      <c r="BA308" s="2" t="s">
        <v>471</v>
      </c>
      <c r="BB308" s="1" t="s">
        <v>205</v>
      </c>
      <c r="BC308" s="1" t="s">
        <v>59</v>
      </c>
      <c r="BD308" s="2" t="s">
        <v>472</v>
      </c>
    </row>
    <row r="309" spans="1:56" ht="15.75" customHeight="1">
      <c r="A309" s="2">
        <v>20062</v>
      </c>
      <c r="B309" s="2">
        <v>1</v>
      </c>
      <c r="C309" s="2">
        <v>3</v>
      </c>
      <c r="D309" s="2">
        <v>2</v>
      </c>
      <c r="E309" s="1">
        <v>2</v>
      </c>
      <c r="I309" s="1">
        <v>5.3999999999999999E-2</v>
      </c>
      <c r="K309" s="1">
        <v>7</v>
      </c>
      <c r="O309" s="1">
        <v>6</v>
      </c>
      <c r="P309" s="1"/>
      <c r="AH309" s="2">
        <v>3</v>
      </c>
      <c r="AU309" s="1">
        <v>26</v>
      </c>
      <c r="AV309" s="2" t="s">
        <v>469</v>
      </c>
      <c r="AW309" s="1" t="s">
        <v>208</v>
      </c>
      <c r="AX309" s="2" t="s">
        <v>473</v>
      </c>
      <c r="AY309" s="1" t="s">
        <v>217</v>
      </c>
      <c r="AZ309" s="2" t="s">
        <v>417</v>
      </c>
      <c r="BA309" s="2" t="s">
        <v>471</v>
      </c>
      <c r="BB309" s="1" t="s">
        <v>209</v>
      </c>
      <c r="BC309" s="1" t="s">
        <v>59</v>
      </c>
      <c r="BD309" s="2" t="s">
        <v>472</v>
      </c>
    </row>
    <row r="310" spans="1:56" ht="15.75" customHeight="1">
      <c r="A310" s="2">
        <v>20062</v>
      </c>
      <c r="B310" s="2">
        <v>1</v>
      </c>
      <c r="C310" s="2">
        <v>3</v>
      </c>
      <c r="D310" s="2">
        <v>2</v>
      </c>
      <c r="E310" s="1">
        <v>3</v>
      </c>
      <c r="I310" s="1">
        <v>5.8999999999999997E-2</v>
      </c>
      <c r="K310" s="1">
        <v>7</v>
      </c>
      <c r="O310" s="1">
        <v>11</v>
      </c>
      <c r="P310" s="1"/>
      <c r="AH310" s="2">
        <v>3</v>
      </c>
      <c r="AU310" s="1">
        <v>26</v>
      </c>
      <c r="AV310" s="2" t="s">
        <v>469</v>
      </c>
      <c r="AW310" s="1" t="s">
        <v>210</v>
      </c>
      <c r="AX310" s="2" t="s">
        <v>473</v>
      </c>
      <c r="AY310" s="1" t="s">
        <v>217</v>
      </c>
      <c r="AZ310" s="2" t="s">
        <v>421</v>
      </c>
      <c r="BA310" s="2" t="s">
        <v>471</v>
      </c>
      <c r="BB310" s="1" t="s">
        <v>209</v>
      </c>
      <c r="BC310" s="1" t="s">
        <v>59</v>
      </c>
      <c r="BD310" s="2" t="s">
        <v>472</v>
      </c>
    </row>
    <row r="311" spans="1:56" ht="15.75" customHeight="1">
      <c r="A311" s="2">
        <v>20062</v>
      </c>
      <c r="B311" s="2">
        <v>1</v>
      </c>
      <c r="C311" s="2">
        <v>3</v>
      </c>
      <c r="D311" s="2">
        <v>2</v>
      </c>
      <c r="E311" s="1">
        <v>4</v>
      </c>
      <c r="I311" s="1">
        <v>6.4000000000000001E-2</v>
      </c>
      <c r="K311" s="1">
        <v>13</v>
      </c>
      <c r="O311" s="1">
        <v>11</v>
      </c>
      <c r="P311" s="1"/>
      <c r="AH311" s="2">
        <v>3</v>
      </c>
      <c r="AU311" s="1">
        <v>30</v>
      </c>
      <c r="AV311" s="2" t="s">
        <v>469</v>
      </c>
      <c r="AW311" s="1" t="s">
        <v>212</v>
      </c>
      <c r="AX311" s="2" t="s">
        <v>473</v>
      </c>
      <c r="AY311" s="1" t="s">
        <v>221</v>
      </c>
      <c r="AZ311" s="2" t="s">
        <v>421</v>
      </c>
      <c r="BA311" s="2" t="s">
        <v>471</v>
      </c>
      <c r="BB311" s="1" t="s">
        <v>214</v>
      </c>
      <c r="BC311" s="1" t="s">
        <v>59</v>
      </c>
      <c r="BD311" s="2" t="s">
        <v>472</v>
      </c>
    </row>
    <row r="312" spans="1:56" ht="15.75" customHeight="1">
      <c r="A312" s="2">
        <v>20063</v>
      </c>
      <c r="B312" s="2">
        <v>2</v>
      </c>
      <c r="C312" s="2">
        <v>3</v>
      </c>
      <c r="D312" s="2">
        <v>2</v>
      </c>
      <c r="E312" s="1">
        <v>0</v>
      </c>
      <c r="G312" s="2">
        <v>37</v>
      </c>
      <c r="L312">
        <v>8</v>
      </c>
      <c r="AH312" s="2">
        <v>2</v>
      </c>
      <c r="AR312" s="2">
        <v>6</v>
      </c>
      <c r="AU312" s="1">
        <v>22</v>
      </c>
      <c r="AV312" t="s">
        <v>915</v>
      </c>
      <c r="AW312" s="1" t="s">
        <v>916</v>
      </c>
      <c r="AX312" s="2" t="s">
        <v>921</v>
      </c>
      <c r="AY312" s="2" t="s">
        <v>922</v>
      </c>
      <c r="AZ312" s="2" t="s">
        <v>443</v>
      </c>
      <c r="BA312" s="2" t="s">
        <v>923</v>
      </c>
      <c r="BB312" s="1" t="s">
        <v>143</v>
      </c>
      <c r="BC312" s="1" t="s">
        <v>59</v>
      </c>
      <c r="BD312" s="2" t="s">
        <v>924</v>
      </c>
    </row>
    <row r="313" spans="1:56" ht="15.75" customHeight="1">
      <c r="A313" s="2">
        <v>20063</v>
      </c>
      <c r="B313" s="2">
        <v>2</v>
      </c>
      <c r="C313" s="2">
        <v>3</v>
      </c>
      <c r="D313" s="2">
        <v>2</v>
      </c>
      <c r="E313" s="1">
        <v>1</v>
      </c>
      <c r="G313" s="2">
        <v>40</v>
      </c>
      <c r="L313">
        <v>15</v>
      </c>
      <c r="AH313" s="2">
        <v>2</v>
      </c>
      <c r="AR313" s="2">
        <v>6</v>
      </c>
      <c r="AU313" s="1">
        <v>22</v>
      </c>
      <c r="AV313" t="s">
        <v>915</v>
      </c>
      <c r="AW313" s="1" t="s">
        <v>917</v>
      </c>
      <c r="AX313" s="2" t="s">
        <v>871</v>
      </c>
      <c r="AY313" s="2" t="s">
        <v>922</v>
      </c>
      <c r="AZ313" s="2" t="s">
        <v>443</v>
      </c>
      <c r="BA313" s="2" t="s">
        <v>923</v>
      </c>
      <c r="BB313" s="1" t="s">
        <v>143</v>
      </c>
      <c r="BC313" s="1" t="s">
        <v>59</v>
      </c>
      <c r="BD313" s="2" t="s">
        <v>924</v>
      </c>
    </row>
    <row r="314" spans="1:56" ht="15.75" customHeight="1">
      <c r="A314" s="2">
        <v>20063</v>
      </c>
      <c r="B314" s="2">
        <v>2</v>
      </c>
      <c r="C314" s="2">
        <v>3</v>
      </c>
      <c r="D314" s="2">
        <v>2</v>
      </c>
      <c r="E314" s="1">
        <v>2</v>
      </c>
      <c r="G314" s="2">
        <v>43</v>
      </c>
      <c r="L314">
        <v>15</v>
      </c>
      <c r="AH314" s="2">
        <v>2</v>
      </c>
      <c r="AR314" s="2">
        <v>6</v>
      </c>
      <c r="AU314" s="1">
        <v>26</v>
      </c>
      <c r="AV314" t="s">
        <v>915</v>
      </c>
      <c r="AW314" s="1" t="s">
        <v>918</v>
      </c>
      <c r="AX314" s="2" t="s">
        <v>871</v>
      </c>
      <c r="AY314" s="2" t="s">
        <v>922</v>
      </c>
      <c r="AZ314" s="2" t="s">
        <v>443</v>
      </c>
      <c r="BA314" s="2" t="s">
        <v>923</v>
      </c>
      <c r="BB314" s="1" t="s">
        <v>148</v>
      </c>
      <c r="BC314" s="1" t="s">
        <v>59</v>
      </c>
      <c r="BD314" s="2" t="s">
        <v>924</v>
      </c>
    </row>
    <row r="315" spans="1:56" ht="15.75" customHeight="1">
      <c r="A315" s="2">
        <v>20063</v>
      </c>
      <c r="B315" s="2">
        <v>2</v>
      </c>
      <c r="C315" s="2">
        <v>3</v>
      </c>
      <c r="D315" s="2">
        <v>2</v>
      </c>
      <c r="E315" s="1">
        <v>3</v>
      </c>
      <c r="G315" s="2">
        <v>46</v>
      </c>
      <c r="L315">
        <v>15</v>
      </c>
      <c r="AH315" s="2">
        <v>2</v>
      </c>
      <c r="AR315" s="2">
        <v>11</v>
      </c>
      <c r="AU315" s="1">
        <v>26</v>
      </c>
      <c r="AV315" t="s">
        <v>915</v>
      </c>
      <c r="AW315" s="1" t="s">
        <v>919</v>
      </c>
      <c r="AX315" s="2" t="s">
        <v>871</v>
      </c>
      <c r="AY315" s="2" t="s">
        <v>922</v>
      </c>
      <c r="AZ315" s="2" t="s">
        <v>447</v>
      </c>
      <c r="BA315" s="2" t="s">
        <v>923</v>
      </c>
      <c r="BB315" s="1" t="s">
        <v>148</v>
      </c>
      <c r="BC315" s="1" t="s">
        <v>59</v>
      </c>
      <c r="BD315" s="2" t="s">
        <v>924</v>
      </c>
    </row>
    <row r="316" spans="1:56" ht="15.75" customHeight="1">
      <c r="A316" s="2">
        <v>20063</v>
      </c>
      <c r="B316" s="2">
        <v>2</v>
      </c>
      <c r="C316" s="2">
        <v>3</v>
      </c>
      <c r="D316" s="2">
        <v>2</v>
      </c>
      <c r="E316" s="1">
        <v>4</v>
      </c>
      <c r="G316" s="2">
        <v>49</v>
      </c>
      <c r="L316">
        <v>15</v>
      </c>
      <c r="AH316" s="2">
        <v>3</v>
      </c>
      <c r="AR316" s="2">
        <v>11</v>
      </c>
      <c r="AU316" s="1">
        <v>30</v>
      </c>
      <c r="AV316" t="s">
        <v>915</v>
      </c>
      <c r="AW316" s="1" t="s">
        <v>920</v>
      </c>
      <c r="AX316" s="2" t="s">
        <v>871</v>
      </c>
      <c r="AY316" s="2" t="s">
        <v>756</v>
      </c>
      <c r="AZ316" s="2" t="s">
        <v>447</v>
      </c>
      <c r="BA316" s="2" t="s">
        <v>923</v>
      </c>
      <c r="BB316" s="1" t="s">
        <v>152</v>
      </c>
      <c r="BC316" s="1" t="s">
        <v>59</v>
      </c>
      <c r="BD316" s="2" t="s">
        <v>924</v>
      </c>
    </row>
    <row r="317" spans="1:56" ht="15.75" customHeight="1">
      <c r="A317" s="2">
        <v>20064</v>
      </c>
      <c r="B317" s="2">
        <v>0</v>
      </c>
      <c r="C317" s="2">
        <v>2</v>
      </c>
      <c r="D317" s="2">
        <v>2</v>
      </c>
      <c r="E317" s="1">
        <v>0</v>
      </c>
      <c r="G317" s="2">
        <v>37</v>
      </c>
      <c r="L317">
        <v>8</v>
      </c>
      <c r="O317" s="1">
        <v>6</v>
      </c>
      <c r="P317" s="1"/>
      <c r="AO317">
        <v>8</v>
      </c>
      <c r="AU317" s="1">
        <v>22</v>
      </c>
      <c r="AV317" s="6" t="s">
        <v>979</v>
      </c>
      <c r="AW317" s="1" t="s">
        <v>927</v>
      </c>
      <c r="AX317" s="2" t="s">
        <v>460</v>
      </c>
      <c r="AY317" s="2" t="s">
        <v>981</v>
      </c>
      <c r="AZ317" t="s">
        <v>1018</v>
      </c>
      <c r="BA317" s="2" t="s">
        <v>983</v>
      </c>
      <c r="BB317" s="1" t="s">
        <v>158</v>
      </c>
      <c r="BC317" s="1" t="s">
        <v>59</v>
      </c>
      <c r="BD317" s="2" t="s">
        <v>1156</v>
      </c>
    </row>
    <row r="318" spans="1:56" ht="15.75" customHeight="1">
      <c r="A318" s="2">
        <v>20064</v>
      </c>
      <c r="B318" s="2">
        <v>0</v>
      </c>
      <c r="C318" s="2">
        <v>2</v>
      </c>
      <c r="D318" s="2">
        <v>2</v>
      </c>
      <c r="E318" s="1">
        <v>1</v>
      </c>
      <c r="G318" s="2">
        <v>40</v>
      </c>
      <c r="L318">
        <v>15</v>
      </c>
      <c r="O318" s="1">
        <v>6</v>
      </c>
      <c r="P318" s="1"/>
      <c r="AO318">
        <v>8</v>
      </c>
      <c r="AU318" s="1">
        <v>22</v>
      </c>
      <c r="AV318" s="6" t="s">
        <v>979</v>
      </c>
      <c r="AW318" s="1" t="s">
        <v>925</v>
      </c>
      <c r="AX318" s="2" t="s">
        <v>463</v>
      </c>
      <c r="AY318" s="2" t="s">
        <v>981</v>
      </c>
      <c r="AZ318" t="s">
        <v>1018</v>
      </c>
      <c r="BA318" s="2" t="s">
        <v>983</v>
      </c>
      <c r="BB318" s="1" t="s">
        <v>158</v>
      </c>
      <c r="BC318" s="1" t="s">
        <v>59</v>
      </c>
      <c r="BD318" s="2" t="s">
        <v>1156</v>
      </c>
    </row>
    <row r="319" spans="1:56" ht="15.75" customHeight="1">
      <c r="A319" s="2">
        <v>20064</v>
      </c>
      <c r="B319" s="2">
        <v>0</v>
      </c>
      <c r="C319" s="2">
        <v>2</v>
      </c>
      <c r="D319" s="2">
        <v>2</v>
      </c>
      <c r="E319" s="1">
        <v>2</v>
      </c>
      <c r="G319" s="2">
        <v>43</v>
      </c>
      <c r="L319">
        <v>15</v>
      </c>
      <c r="O319" s="1">
        <v>6</v>
      </c>
      <c r="P319" s="1"/>
      <c r="AO319">
        <v>8</v>
      </c>
      <c r="AU319" s="1">
        <v>26</v>
      </c>
      <c r="AV319" s="6" t="s">
        <v>979</v>
      </c>
      <c r="AW319" s="1" t="s">
        <v>929</v>
      </c>
      <c r="AX319" s="2" t="s">
        <v>463</v>
      </c>
      <c r="AY319" s="2" t="s">
        <v>981</v>
      </c>
      <c r="AZ319" t="s">
        <v>1018</v>
      </c>
      <c r="BA319" s="2" t="s">
        <v>983</v>
      </c>
      <c r="BB319" s="1" t="s">
        <v>163</v>
      </c>
      <c r="BC319" s="1" t="s">
        <v>59</v>
      </c>
      <c r="BD319" s="2" t="s">
        <v>1156</v>
      </c>
    </row>
    <row r="320" spans="1:56" ht="15.75" customHeight="1">
      <c r="A320" s="2">
        <v>20064</v>
      </c>
      <c r="B320" s="2">
        <v>0</v>
      </c>
      <c r="C320" s="2">
        <v>2</v>
      </c>
      <c r="D320" s="2">
        <v>2</v>
      </c>
      <c r="E320" s="1">
        <v>3</v>
      </c>
      <c r="G320" s="2">
        <v>46</v>
      </c>
      <c r="L320">
        <v>15</v>
      </c>
      <c r="O320" s="1">
        <v>6</v>
      </c>
      <c r="P320" s="1"/>
      <c r="AO320">
        <v>16</v>
      </c>
      <c r="AU320" s="1">
        <v>26</v>
      </c>
      <c r="AV320" s="6" t="s">
        <v>979</v>
      </c>
      <c r="AW320" s="1" t="s">
        <v>931</v>
      </c>
      <c r="AX320" s="2" t="s">
        <v>463</v>
      </c>
      <c r="AY320" s="2" t="s">
        <v>981</v>
      </c>
      <c r="AZ320" t="s">
        <v>1019</v>
      </c>
      <c r="BA320" s="2" t="s">
        <v>983</v>
      </c>
      <c r="BB320" s="1" t="s">
        <v>163</v>
      </c>
      <c r="BC320" s="1" t="s">
        <v>59</v>
      </c>
      <c r="BD320" s="2" t="s">
        <v>1156</v>
      </c>
    </row>
    <row r="321" spans="1:56" ht="15.75" customHeight="1">
      <c r="A321" s="2">
        <v>20064</v>
      </c>
      <c r="B321" s="2">
        <v>0</v>
      </c>
      <c r="C321" s="2">
        <v>2</v>
      </c>
      <c r="D321" s="2">
        <v>2</v>
      </c>
      <c r="E321" s="1">
        <v>4</v>
      </c>
      <c r="G321" s="2">
        <v>49</v>
      </c>
      <c r="L321">
        <v>15</v>
      </c>
      <c r="O321" s="1">
        <v>11</v>
      </c>
      <c r="P321" s="1"/>
      <c r="AO321">
        <v>16</v>
      </c>
      <c r="AU321" s="1">
        <v>30</v>
      </c>
      <c r="AV321" s="6" t="s">
        <v>979</v>
      </c>
      <c r="AW321" s="1" t="s">
        <v>933</v>
      </c>
      <c r="AX321" s="2" t="s">
        <v>463</v>
      </c>
      <c r="AY321" s="2" t="s">
        <v>982</v>
      </c>
      <c r="AZ321" t="s">
        <v>1019</v>
      </c>
      <c r="BA321" s="2" t="s">
        <v>983</v>
      </c>
      <c r="BB321" s="1" t="s">
        <v>167</v>
      </c>
      <c r="BC321" s="1" t="s">
        <v>59</v>
      </c>
      <c r="BD321" s="2" t="s">
        <v>1156</v>
      </c>
    </row>
    <row r="322" spans="1:56" ht="15.75" customHeight="1">
      <c r="A322" s="2">
        <v>20065</v>
      </c>
      <c r="B322" s="2">
        <v>1</v>
      </c>
      <c r="C322" s="2">
        <v>3</v>
      </c>
      <c r="D322" s="2">
        <v>2</v>
      </c>
      <c r="E322" s="1">
        <v>0</v>
      </c>
      <c r="G322" s="2">
        <v>37</v>
      </c>
      <c r="V322" s="2">
        <v>9</v>
      </c>
      <c r="AR322" s="2">
        <v>6</v>
      </c>
      <c r="AT322" s="1">
        <v>9</v>
      </c>
      <c r="AU322" s="1">
        <v>22</v>
      </c>
      <c r="AV322" t="s">
        <v>984</v>
      </c>
      <c r="AW322" s="1" t="s">
        <v>928</v>
      </c>
      <c r="AX322" s="2" t="s">
        <v>985</v>
      </c>
      <c r="AY322" s="1" t="s">
        <v>1097</v>
      </c>
      <c r="AZ322" s="2" t="s">
        <v>989</v>
      </c>
      <c r="BA322" s="2" t="s">
        <v>991</v>
      </c>
      <c r="BB322" s="1" t="s">
        <v>205</v>
      </c>
      <c r="BC322" s="1" t="s">
        <v>59</v>
      </c>
      <c r="BD322" s="2" t="s">
        <v>992</v>
      </c>
    </row>
    <row r="323" spans="1:56" ht="15.75" customHeight="1">
      <c r="A323" s="2">
        <v>20065</v>
      </c>
      <c r="B323" s="2">
        <v>1</v>
      </c>
      <c r="C323" s="2">
        <v>3</v>
      </c>
      <c r="D323" s="2">
        <v>2</v>
      </c>
      <c r="E323" s="1">
        <v>1</v>
      </c>
      <c r="G323" s="2">
        <v>40</v>
      </c>
      <c r="V323" s="2">
        <v>18</v>
      </c>
      <c r="AR323" s="2">
        <v>6</v>
      </c>
      <c r="AT323" s="1">
        <v>9</v>
      </c>
      <c r="AU323" s="1">
        <v>22</v>
      </c>
      <c r="AV323" t="s">
        <v>984</v>
      </c>
      <c r="AW323" s="1" t="s">
        <v>926</v>
      </c>
      <c r="AX323" s="2" t="s">
        <v>986</v>
      </c>
      <c r="AY323" s="1" t="s">
        <v>1097</v>
      </c>
      <c r="AZ323" s="2" t="s">
        <v>989</v>
      </c>
      <c r="BA323" s="2" t="s">
        <v>991</v>
      </c>
      <c r="BB323" s="1" t="s">
        <v>205</v>
      </c>
      <c r="BC323" s="1" t="s">
        <v>59</v>
      </c>
      <c r="BD323" s="2" t="s">
        <v>992</v>
      </c>
    </row>
    <row r="324" spans="1:56" ht="15.75" customHeight="1">
      <c r="A324" s="2">
        <v>20065</v>
      </c>
      <c r="B324" s="2">
        <v>1</v>
      </c>
      <c r="C324" s="2">
        <v>3</v>
      </c>
      <c r="D324" s="2">
        <v>2</v>
      </c>
      <c r="E324" s="1">
        <v>2</v>
      </c>
      <c r="G324" s="2">
        <v>43</v>
      </c>
      <c r="V324" s="2">
        <v>18</v>
      </c>
      <c r="AR324" s="2">
        <v>6</v>
      </c>
      <c r="AT324" s="1">
        <v>9</v>
      </c>
      <c r="AU324" s="1">
        <v>26</v>
      </c>
      <c r="AV324" t="s">
        <v>984</v>
      </c>
      <c r="AW324" s="1" t="s">
        <v>930</v>
      </c>
      <c r="AX324" s="2" t="s">
        <v>986</v>
      </c>
      <c r="AY324" s="1" t="s">
        <v>1097</v>
      </c>
      <c r="AZ324" s="2" t="s">
        <v>989</v>
      </c>
      <c r="BA324" s="2" t="s">
        <v>991</v>
      </c>
      <c r="BB324" s="1" t="s">
        <v>209</v>
      </c>
      <c r="BC324" s="1" t="s">
        <v>59</v>
      </c>
      <c r="BD324" s="2" t="s">
        <v>992</v>
      </c>
    </row>
    <row r="325" spans="1:56" ht="15.75" customHeight="1">
      <c r="A325" s="2">
        <v>20065</v>
      </c>
      <c r="B325" s="2">
        <v>1</v>
      </c>
      <c r="C325" s="2">
        <v>3</v>
      </c>
      <c r="D325" s="2">
        <v>2</v>
      </c>
      <c r="E325" s="1">
        <v>3</v>
      </c>
      <c r="G325" s="2">
        <v>46</v>
      </c>
      <c r="V325" s="2">
        <v>18</v>
      </c>
      <c r="AR325" s="2">
        <v>11</v>
      </c>
      <c r="AT325" s="1">
        <v>9</v>
      </c>
      <c r="AU325" s="1">
        <v>26</v>
      </c>
      <c r="AV325" t="s">
        <v>984</v>
      </c>
      <c r="AW325" s="1" t="s">
        <v>932</v>
      </c>
      <c r="AX325" s="2" t="s">
        <v>986</v>
      </c>
      <c r="AY325" s="1" t="s">
        <v>1097</v>
      </c>
      <c r="AZ325" s="2" t="s">
        <v>990</v>
      </c>
      <c r="BA325" s="2" t="s">
        <v>991</v>
      </c>
      <c r="BB325" s="1" t="s">
        <v>209</v>
      </c>
      <c r="BC325" s="1" t="s">
        <v>59</v>
      </c>
      <c r="BD325" s="2" t="s">
        <v>992</v>
      </c>
    </row>
    <row r="326" spans="1:56" ht="15.75" customHeight="1">
      <c r="A326" s="2">
        <v>20065</v>
      </c>
      <c r="B326" s="2">
        <v>1</v>
      </c>
      <c r="C326" s="2">
        <v>3</v>
      </c>
      <c r="D326" s="2">
        <v>2</v>
      </c>
      <c r="E326" s="1">
        <v>4</v>
      </c>
      <c r="G326" s="2">
        <v>49</v>
      </c>
      <c r="V326" s="2">
        <v>18</v>
      </c>
      <c r="AR326" s="2">
        <v>11</v>
      </c>
      <c r="AT326" s="1">
        <v>17</v>
      </c>
      <c r="AU326" s="1">
        <v>30</v>
      </c>
      <c r="AV326" t="s">
        <v>984</v>
      </c>
      <c r="AW326" s="1" t="s">
        <v>934</v>
      </c>
      <c r="AX326" s="2" t="s">
        <v>986</v>
      </c>
      <c r="AY326" s="1" t="s">
        <v>1086</v>
      </c>
      <c r="AZ326" s="2" t="s">
        <v>990</v>
      </c>
      <c r="BA326" s="2" t="s">
        <v>991</v>
      </c>
      <c r="BB326" s="1" t="s">
        <v>214</v>
      </c>
      <c r="BC326" s="1" t="s">
        <v>59</v>
      </c>
      <c r="BD326" s="2" t="s">
        <v>992</v>
      </c>
    </row>
    <row r="327" spans="1:56" ht="15.75" customHeight="1">
      <c r="A327" s="2">
        <v>20066</v>
      </c>
      <c r="B327" s="2">
        <v>2</v>
      </c>
      <c r="C327" s="2">
        <v>1</v>
      </c>
      <c r="D327" s="2">
        <v>2</v>
      </c>
      <c r="E327" s="1">
        <v>0</v>
      </c>
      <c r="G327" s="2">
        <v>37</v>
      </c>
      <c r="V327" s="2">
        <v>9</v>
      </c>
      <c r="W327">
        <v>2</v>
      </c>
      <c r="AR327" s="2">
        <v>6</v>
      </c>
      <c r="AU327" s="1">
        <v>22</v>
      </c>
      <c r="AV327" t="s">
        <v>1020</v>
      </c>
      <c r="AW327" s="1" t="s">
        <v>916</v>
      </c>
      <c r="AX327" s="2" t="s">
        <v>443</v>
      </c>
      <c r="AY327" s="1" t="s">
        <v>249</v>
      </c>
      <c r="AZ327" s="2" t="s">
        <v>987</v>
      </c>
      <c r="BA327" s="2" t="s">
        <v>1021</v>
      </c>
      <c r="BB327" s="1" t="s">
        <v>143</v>
      </c>
      <c r="BC327" s="1" t="s">
        <v>59</v>
      </c>
      <c r="BD327" s="2" t="s">
        <v>1022</v>
      </c>
    </row>
    <row r="328" spans="1:56" ht="15.75" customHeight="1">
      <c r="A328" s="2">
        <v>20066</v>
      </c>
      <c r="B328" s="2">
        <v>2</v>
      </c>
      <c r="C328" s="2">
        <v>1</v>
      </c>
      <c r="D328" s="2">
        <v>2</v>
      </c>
      <c r="E328" s="1">
        <v>1</v>
      </c>
      <c r="G328" s="2">
        <v>40</v>
      </c>
      <c r="V328" s="2">
        <v>9</v>
      </c>
      <c r="W328">
        <v>2</v>
      </c>
      <c r="AR328" s="2">
        <v>11</v>
      </c>
      <c r="AU328" s="1">
        <v>22</v>
      </c>
      <c r="AV328" t="s">
        <v>1020</v>
      </c>
      <c r="AW328" s="1" t="s">
        <v>917</v>
      </c>
      <c r="AX328" s="2" t="s">
        <v>447</v>
      </c>
      <c r="AY328" s="1" t="s">
        <v>249</v>
      </c>
      <c r="AZ328" s="2" t="s">
        <v>987</v>
      </c>
      <c r="BA328" s="2" t="s">
        <v>1021</v>
      </c>
      <c r="BB328" s="1" t="s">
        <v>143</v>
      </c>
      <c r="BC328" s="1" t="s">
        <v>59</v>
      </c>
      <c r="BD328" s="2" t="s">
        <v>1022</v>
      </c>
    </row>
    <row r="329" spans="1:56" ht="15.75" customHeight="1">
      <c r="A329" s="2">
        <v>20066</v>
      </c>
      <c r="B329" s="2">
        <v>2</v>
      </c>
      <c r="C329" s="2">
        <v>1</v>
      </c>
      <c r="D329" s="2">
        <v>2</v>
      </c>
      <c r="E329" s="1">
        <v>2</v>
      </c>
      <c r="G329" s="2">
        <v>43</v>
      </c>
      <c r="V329" s="2">
        <v>9</v>
      </c>
      <c r="W329">
        <v>2</v>
      </c>
      <c r="AR329" s="2">
        <v>11</v>
      </c>
      <c r="AU329" s="1">
        <v>26</v>
      </c>
      <c r="AV329" t="s">
        <v>1020</v>
      </c>
      <c r="AW329" s="1" t="s">
        <v>918</v>
      </c>
      <c r="AX329" s="2" t="s">
        <v>447</v>
      </c>
      <c r="AY329" s="1" t="s">
        <v>249</v>
      </c>
      <c r="AZ329" s="2" t="s">
        <v>987</v>
      </c>
      <c r="BA329" s="2" t="s">
        <v>1021</v>
      </c>
      <c r="BB329" s="1" t="s">
        <v>148</v>
      </c>
      <c r="BC329" s="1" t="s">
        <v>59</v>
      </c>
      <c r="BD329" s="2" t="s">
        <v>1022</v>
      </c>
    </row>
    <row r="330" spans="1:56" ht="15.75" customHeight="1">
      <c r="A330" s="2">
        <v>20066</v>
      </c>
      <c r="B330" s="2">
        <v>2</v>
      </c>
      <c r="C330" s="2">
        <v>1</v>
      </c>
      <c r="D330" s="2">
        <v>2</v>
      </c>
      <c r="E330" s="1">
        <v>3</v>
      </c>
      <c r="G330" s="2">
        <v>46</v>
      </c>
      <c r="V330" s="2">
        <v>18</v>
      </c>
      <c r="W330">
        <v>2</v>
      </c>
      <c r="AR330" s="2">
        <v>11</v>
      </c>
      <c r="AU330" s="1">
        <v>26</v>
      </c>
      <c r="AV330" t="s">
        <v>1020</v>
      </c>
      <c r="AW330" s="1" t="s">
        <v>919</v>
      </c>
      <c r="AX330" s="2" t="s">
        <v>447</v>
      </c>
      <c r="AY330" s="1" t="s">
        <v>249</v>
      </c>
      <c r="AZ330" s="2" t="s">
        <v>988</v>
      </c>
      <c r="BA330" s="2" t="s">
        <v>1021</v>
      </c>
      <c r="BB330" s="1" t="s">
        <v>148</v>
      </c>
      <c r="BC330" s="1" t="s">
        <v>59</v>
      </c>
      <c r="BD330" s="2" t="s">
        <v>1022</v>
      </c>
    </row>
    <row r="331" spans="1:56" ht="15.75" customHeight="1">
      <c r="A331" s="2">
        <v>20066</v>
      </c>
      <c r="B331" s="2">
        <v>2</v>
      </c>
      <c r="C331" s="2">
        <v>1</v>
      </c>
      <c r="D331" s="2">
        <v>2</v>
      </c>
      <c r="E331" s="1">
        <v>4</v>
      </c>
      <c r="G331" s="2">
        <v>49</v>
      </c>
      <c r="V331" s="2">
        <v>18</v>
      </c>
      <c r="W331">
        <v>3</v>
      </c>
      <c r="AR331" s="2">
        <v>11</v>
      </c>
      <c r="AU331" s="1">
        <v>30</v>
      </c>
      <c r="AV331" t="s">
        <v>1020</v>
      </c>
      <c r="AW331" s="1" t="s">
        <v>920</v>
      </c>
      <c r="AX331" s="2" t="s">
        <v>447</v>
      </c>
      <c r="AY331" s="1" t="s">
        <v>254</v>
      </c>
      <c r="AZ331" s="2" t="s">
        <v>988</v>
      </c>
      <c r="BA331" s="2" t="s">
        <v>1021</v>
      </c>
      <c r="BB331" s="1" t="s">
        <v>152</v>
      </c>
      <c r="BC331" s="1" t="s">
        <v>59</v>
      </c>
      <c r="BD331" s="2" t="s">
        <v>1022</v>
      </c>
    </row>
    <row r="332" spans="1:56" ht="15.75" customHeight="1">
      <c r="A332" s="2">
        <v>20067</v>
      </c>
      <c r="B332" s="2">
        <v>0</v>
      </c>
      <c r="C332" s="2">
        <v>2</v>
      </c>
      <c r="D332" s="2">
        <v>2</v>
      </c>
      <c r="E332" s="1">
        <v>0</v>
      </c>
      <c r="F332" s="1">
        <v>10.5</v>
      </c>
      <c r="G332" s="2">
        <v>37</v>
      </c>
      <c r="K332" s="1">
        <v>7</v>
      </c>
      <c r="AT332" s="1">
        <v>9</v>
      </c>
      <c r="AU332" s="1">
        <v>22</v>
      </c>
      <c r="AV332" t="s">
        <v>1031</v>
      </c>
      <c r="AW332" s="1" t="s">
        <v>927</v>
      </c>
      <c r="AX332" s="1" t="s">
        <v>155</v>
      </c>
      <c r="AY332" s="1" t="s">
        <v>156</v>
      </c>
      <c r="AZ332" s="1" t="s">
        <v>1096</v>
      </c>
      <c r="BA332" s="2" t="s">
        <v>1032</v>
      </c>
      <c r="BB332" s="1" t="s">
        <v>158</v>
      </c>
      <c r="BC332" s="1" t="s">
        <v>59</v>
      </c>
      <c r="BD332" s="2" t="s">
        <v>1033</v>
      </c>
    </row>
    <row r="333" spans="1:56" ht="15.75" customHeight="1">
      <c r="A333" s="2">
        <v>20067</v>
      </c>
      <c r="B333" s="2">
        <v>0</v>
      </c>
      <c r="C333" s="2">
        <v>2</v>
      </c>
      <c r="D333" s="2">
        <v>2</v>
      </c>
      <c r="E333" s="1">
        <v>1</v>
      </c>
      <c r="F333" s="1">
        <v>21</v>
      </c>
      <c r="G333" s="2">
        <v>40</v>
      </c>
      <c r="K333" s="1">
        <v>7</v>
      </c>
      <c r="AT333" s="1">
        <v>9</v>
      </c>
      <c r="AU333" s="1">
        <v>22</v>
      </c>
      <c r="AV333" t="s">
        <v>1031</v>
      </c>
      <c r="AW333" s="1" t="s">
        <v>925</v>
      </c>
      <c r="AX333" s="1" t="s">
        <v>161</v>
      </c>
      <c r="AY333" s="1" t="s">
        <v>156</v>
      </c>
      <c r="AZ333" s="1" t="s">
        <v>1096</v>
      </c>
      <c r="BA333" s="2" t="s">
        <v>1032</v>
      </c>
      <c r="BB333" s="1" t="s">
        <v>158</v>
      </c>
      <c r="BC333" s="1" t="s">
        <v>59</v>
      </c>
      <c r="BD333" s="2" t="s">
        <v>1033</v>
      </c>
    </row>
    <row r="334" spans="1:56" ht="15.75" customHeight="1">
      <c r="A334" s="2">
        <v>20067</v>
      </c>
      <c r="B334" s="2">
        <v>0</v>
      </c>
      <c r="C334" s="2">
        <v>2</v>
      </c>
      <c r="D334" s="2">
        <v>2</v>
      </c>
      <c r="E334" s="1">
        <v>2</v>
      </c>
      <c r="F334" s="1">
        <v>21</v>
      </c>
      <c r="G334" s="2">
        <v>43</v>
      </c>
      <c r="K334" s="1">
        <v>7</v>
      </c>
      <c r="AT334" s="1">
        <v>9</v>
      </c>
      <c r="AU334" s="1">
        <v>26</v>
      </c>
      <c r="AV334" t="s">
        <v>1031</v>
      </c>
      <c r="AW334" s="1" t="s">
        <v>929</v>
      </c>
      <c r="AX334" s="1" t="s">
        <v>161</v>
      </c>
      <c r="AY334" s="1" t="s">
        <v>156</v>
      </c>
      <c r="AZ334" s="1" t="s">
        <v>1096</v>
      </c>
      <c r="BA334" s="2" t="s">
        <v>1032</v>
      </c>
      <c r="BB334" s="1" t="s">
        <v>163</v>
      </c>
      <c r="BC334" s="1" t="s">
        <v>59</v>
      </c>
      <c r="BD334" s="2" t="s">
        <v>1033</v>
      </c>
    </row>
    <row r="335" spans="1:56" ht="15.75" customHeight="1">
      <c r="A335" s="2">
        <v>20067</v>
      </c>
      <c r="B335" s="2">
        <v>0</v>
      </c>
      <c r="C335" s="2">
        <v>2</v>
      </c>
      <c r="D335" s="2">
        <v>2</v>
      </c>
      <c r="E335" s="1">
        <v>3</v>
      </c>
      <c r="F335" s="1">
        <v>21</v>
      </c>
      <c r="G335" s="2">
        <v>46</v>
      </c>
      <c r="K335" s="1">
        <v>7</v>
      </c>
      <c r="AT335" s="1">
        <v>17</v>
      </c>
      <c r="AU335" s="1">
        <v>26</v>
      </c>
      <c r="AV335" t="s">
        <v>1031</v>
      </c>
      <c r="AW335" s="1" t="s">
        <v>931</v>
      </c>
      <c r="AX335" s="1" t="s">
        <v>161</v>
      </c>
      <c r="AY335" s="1" t="s">
        <v>156</v>
      </c>
      <c r="AZ335" s="1" t="s">
        <v>1089</v>
      </c>
      <c r="BA335" s="2" t="s">
        <v>1032</v>
      </c>
      <c r="BB335" s="1" t="s">
        <v>163</v>
      </c>
      <c r="BC335" s="1" t="s">
        <v>59</v>
      </c>
      <c r="BD335" s="2" t="s">
        <v>1033</v>
      </c>
    </row>
    <row r="336" spans="1:56" ht="15.75" customHeight="1">
      <c r="A336" s="2">
        <v>20067</v>
      </c>
      <c r="B336" s="2">
        <v>0</v>
      </c>
      <c r="C336" s="2">
        <v>2</v>
      </c>
      <c r="D336" s="2">
        <v>2</v>
      </c>
      <c r="E336" s="1">
        <v>4</v>
      </c>
      <c r="F336" s="1">
        <v>21</v>
      </c>
      <c r="G336" s="2">
        <v>49</v>
      </c>
      <c r="K336" s="1">
        <v>13</v>
      </c>
      <c r="AT336" s="1">
        <v>17</v>
      </c>
      <c r="AU336" s="1">
        <v>30</v>
      </c>
      <c r="AV336" t="s">
        <v>1031</v>
      </c>
      <c r="AW336" s="1" t="s">
        <v>933</v>
      </c>
      <c r="AX336" s="1" t="s">
        <v>161</v>
      </c>
      <c r="AY336" s="1" t="s">
        <v>166</v>
      </c>
      <c r="AZ336" s="1" t="s">
        <v>1089</v>
      </c>
      <c r="BA336" s="2" t="s">
        <v>1032</v>
      </c>
      <c r="BB336" s="1" t="s">
        <v>167</v>
      </c>
      <c r="BC336" s="1" t="s">
        <v>59</v>
      </c>
      <c r="BD336" s="2" t="s">
        <v>1033</v>
      </c>
    </row>
    <row r="337" spans="1:56" ht="15.75" customHeight="1">
      <c r="A337" s="2">
        <v>20068</v>
      </c>
      <c r="B337" s="2">
        <v>1</v>
      </c>
      <c r="C337" s="2">
        <v>1</v>
      </c>
      <c r="D337" s="2">
        <v>2</v>
      </c>
      <c r="E337" s="1">
        <v>0</v>
      </c>
      <c r="I337" s="1">
        <v>4.3999999999999997E-2</v>
      </c>
      <c r="Z337">
        <v>1</v>
      </c>
      <c r="AO337">
        <v>8</v>
      </c>
      <c r="AR337">
        <v>6</v>
      </c>
      <c r="AU337" s="1">
        <v>22</v>
      </c>
      <c r="AV337" t="s">
        <v>1034</v>
      </c>
      <c r="AW337" s="1" t="s">
        <v>201</v>
      </c>
      <c r="AX337" t="s">
        <v>1045</v>
      </c>
      <c r="AY337" s="2" t="s">
        <v>989</v>
      </c>
      <c r="AZ337" t="s">
        <v>980</v>
      </c>
      <c r="BA337" s="2" t="s">
        <v>1039</v>
      </c>
      <c r="BB337" s="1" t="s">
        <v>205</v>
      </c>
      <c r="BC337" s="1" t="s">
        <v>59</v>
      </c>
      <c r="BD337" s="2" t="s">
        <v>1042</v>
      </c>
    </row>
    <row r="338" spans="1:56" ht="15.75" customHeight="1">
      <c r="A338" s="2">
        <v>20068</v>
      </c>
      <c r="B338" s="2">
        <v>1</v>
      </c>
      <c r="C338" s="2">
        <v>1</v>
      </c>
      <c r="D338" s="2">
        <v>2</v>
      </c>
      <c r="E338" s="1">
        <v>1</v>
      </c>
      <c r="I338" s="1">
        <v>4.9000000000000002E-2</v>
      </c>
      <c r="Z338">
        <v>2</v>
      </c>
      <c r="AO338">
        <v>8</v>
      </c>
      <c r="AR338">
        <v>6</v>
      </c>
      <c r="AU338" s="1">
        <v>22</v>
      </c>
      <c r="AV338" t="s">
        <v>1034</v>
      </c>
      <c r="AW338" s="1" t="s">
        <v>207</v>
      </c>
      <c r="AX338" t="s">
        <v>1046</v>
      </c>
      <c r="AY338" s="2" t="s">
        <v>989</v>
      </c>
      <c r="AZ338" t="s">
        <v>980</v>
      </c>
      <c r="BA338" s="2" t="s">
        <v>1039</v>
      </c>
      <c r="BB338" s="1" t="s">
        <v>205</v>
      </c>
      <c r="BC338" s="1" t="s">
        <v>59</v>
      </c>
      <c r="BD338" s="2" t="s">
        <v>1042</v>
      </c>
    </row>
    <row r="339" spans="1:56" ht="15.75" customHeight="1">
      <c r="A339" s="2">
        <v>20068</v>
      </c>
      <c r="B339" s="2">
        <v>1</v>
      </c>
      <c r="C339" s="2">
        <v>1</v>
      </c>
      <c r="D339" s="2">
        <v>2</v>
      </c>
      <c r="E339" s="1">
        <v>2</v>
      </c>
      <c r="I339" s="1">
        <v>5.3999999999999999E-2</v>
      </c>
      <c r="Z339">
        <v>2</v>
      </c>
      <c r="AO339">
        <v>8</v>
      </c>
      <c r="AR339">
        <v>6</v>
      </c>
      <c r="AU339" s="1">
        <v>26</v>
      </c>
      <c r="AV339" t="s">
        <v>1034</v>
      </c>
      <c r="AW339" s="1" t="s">
        <v>208</v>
      </c>
      <c r="AX339" t="s">
        <v>1046</v>
      </c>
      <c r="AY339" s="2" t="s">
        <v>989</v>
      </c>
      <c r="AZ339" t="s">
        <v>980</v>
      </c>
      <c r="BA339" s="2" t="s">
        <v>1039</v>
      </c>
      <c r="BB339" s="1" t="s">
        <v>209</v>
      </c>
      <c r="BC339" s="1" t="s">
        <v>59</v>
      </c>
      <c r="BD339" s="2" t="s">
        <v>1042</v>
      </c>
    </row>
    <row r="340" spans="1:56" ht="15.75" customHeight="1">
      <c r="A340" s="2">
        <v>20068</v>
      </c>
      <c r="B340" s="2">
        <v>1</v>
      </c>
      <c r="C340" s="2">
        <v>1</v>
      </c>
      <c r="D340" s="2">
        <v>2</v>
      </c>
      <c r="E340" s="1">
        <v>3</v>
      </c>
      <c r="I340" s="1">
        <v>5.8999999999999997E-2</v>
      </c>
      <c r="Z340">
        <v>2</v>
      </c>
      <c r="AO340">
        <v>16</v>
      </c>
      <c r="AR340">
        <v>6</v>
      </c>
      <c r="AU340" s="1">
        <v>26</v>
      </c>
      <c r="AV340" t="s">
        <v>1034</v>
      </c>
      <c r="AW340" s="1" t="s">
        <v>210</v>
      </c>
      <c r="AX340" t="s">
        <v>1046</v>
      </c>
      <c r="AY340" s="2" t="s">
        <v>989</v>
      </c>
      <c r="AZ340" t="s">
        <v>782</v>
      </c>
      <c r="BA340" s="2" t="s">
        <v>1039</v>
      </c>
      <c r="BB340" s="1" t="s">
        <v>209</v>
      </c>
      <c r="BC340" s="1" t="s">
        <v>59</v>
      </c>
      <c r="BD340" s="2" t="s">
        <v>1042</v>
      </c>
    </row>
    <row r="341" spans="1:56" ht="15.75" customHeight="1">
      <c r="A341" s="2">
        <v>20068</v>
      </c>
      <c r="B341" s="2">
        <v>1</v>
      </c>
      <c r="C341" s="2">
        <v>1</v>
      </c>
      <c r="D341" s="2">
        <v>2</v>
      </c>
      <c r="E341" s="1">
        <v>4</v>
      </c>
      <c r="I341" s="1">
        <v>6.4000000000000001E-2</v>
      </c>
      <c r="Z341">
        <v>2</v>
      </c>
      <c r="AO341">
        <v>16</v>
      </c>
      <c r="AR341">
        <v>11</v>
      </c>
      <c r="AU341" s="1">
        <v>30</v>
      </c>
      <c r="AV341" t="s">
        <v>1034</v>
      </c>
      <c r="AW341" s="1" t="s">
        <v>212</v>
      </c>
      <c r="AX341" t="s">
        <v>1046</v>
      </c>
      <c r="AY341" s="2" t="s">
        <v>990</v>
      </c>
      <c r="AZ341" t="s">
        <v>782</v>
      </c>
      <c r="BA341" s="2" t="s">
        <v>1039</v>
      </c>
      <c r="BB341" s="1" t="s">
        <v>214</v>
      </c>
      <c r="BC341" s="1" t="s">
        <v>59</v>
      </c>
      <c r="BD341" s="2" t="s">
        <v>1042</v>
      </c>
    </row>
    <row r="342" spans="1:56" ht="15.75" customHeight="1">
      <c r="A342" s="2">
        <v>20069</v>
      </c>
      <c r="B342">
        <v>0</v>
      </c>
      <c r="C342">
        <v>3</v>
      </c>
      <c r="D342" s="2">
        <v>2</v>
      </c>
      <c r="E342" s="1">
        <v>0</v>
      </c>
      <c r="F342" s="1">
        <v>10.5</v>
      </c>
      <c r="I342" s="1">
        <v>4.3999999999999997E-2</v>
      </c>
      <c r="K342" s="1">
        <v>7</v>
      </c>
      <c r="Q342" s="1">
        <v>7</v>
      </c>
      <c r="R342" s="1"/>
      <c r="AU342" s="1">
        <v>22</v>
      </c>
      <c r="AV342" t="s">
        <v>1040</v>
      </c>
      <c r="AW342" s="1" t="s">
        <v>154</v>
      </c>
      <c r="AX342" s="1" t="s">
        <v>155</v>
      </c>
      <c r="AY342" s="1" t="s">
        <v>217</v>
      </c>
      <c r="AZ342" s="1" t="s">
        <v>939</v>
      </c>
      <c r="BA342" s="2" t="s">
        <v>1041</v>
      </c>
      <c r="BB342" s="1" t="s">
        <v>158</v>
      </c>
      <c r="BC342" s="1" t="s">
        <v>59</v>
      </c>
      <c r="BD342" s="2" t="s">
        <v>1043</v>
      </c>
    </row>
    <row r="343" spans="1:56" ht="15.75" customHeight="1">
      <c r="A343" s="2">
        <v>20069</v>
      </c>
      <c r="B343">
        <v>0</v>
      </c>
      <c r="C343">
        <v>3</v>
      </c>
      <c r="D343" s="2">
        <v>2</v>
      </c>
      <c r="E343" s="1">
        <v>1</v>
      </c>
      <c r="F343" s="1">
        <v>21</v>
      </c>
      <c r="I343" s="1">
        <v>4.9000000000000002E-2</v>
      </c>
      <c r="K343" s="1">
        <v>7</v>
      </c>
      <c r="Q343" s="1">
        <v>7</v>
      </c>
      <c r="R343" s="1"/>
      <c r="AU343" s="1">
        <v>22</v>
      </c>
      <c r="AV343" t="s">
        <v>1040</v>
      </c>
      <c r="AW343" s="1" t="s">
        <v>160</v>
      </c>
      <c r="AX343" s="1" t="s">
        <v>161</v>
      </c>
      <c r="AY343" s="1" t="s">
        <v>217</v>
      </c>
      <c r="AZ343" s="1" t="s">
        <v>939</v>
      </c>
      <c r="BA343" s="2" t="s">
        <v>1041</v>
      </c>
      <c r="BB343" s="1" t="s">
        <v>158</v>
      </c>
      <c r="BC343" s="1" t="s">
        <v>59</v>
      </c>
      <c r="BD343" s="2" t="s">
        <v>1043</v>
      </c>
    </row>
    <row r="344" spans="1:56" ht="15.75" customHeight="1">
      <c r="A344" s="2">
        <v>20069</v>
      </c>
      <c r="B344">
        <v>0</v>
      </c>
      <c r="C344">
        <v>3</v>
      </c>
      <c r="D344" s="2">
        <v>2</v>
      </c>
      <c r="E344" s="1">
        <v>2</v>
      </c>
      <c r="F344" s="1">
        <v>21</v>
      </c>
      <c r="I344" s="1">
        <v>5.3999999999999999E-2</v>
      </c>
      <c r="K344" s="1">
        <v>7</v>
      </c>
      <c r="Q344" s="1">
        <v>7</v>
      </c>
      <c r="R344" s="1"/>
      <c r="AU344" s="1">
        <v>26</v>
      </c>
      <c r="AV344" t="s">
        <v>1040</v>
      </c>
      <c r="AW344" s="1" t="s">
        <v>162</v>
      </c>
      <c r="AX344" s="1" t="s">
        <v>161</v>
      </c>
      <c r="AY344" s="1" t="s">
        <v>217</v>
      </c>
      <c r="AZ344" s="1" t="s">
        <v>939</v>
      </c>
      <c r="BA344" s="2" t="s">
        <v>1041</v>
      </c>
      <c r="BB344" s="1" t="s">
        <v>163</v>
      </c>
      <c r="BC344" s="1" t="s">
        <v>59</v>
      </c>
      <c r="BD344" s="2" t="s">
        <v>1043</v>
      </c>
    </row>
    <row r="345" spans="1:56" ht="15.75" customHeight="1">
      <c r="A345" s="2">
        <v>20069</v>
      </c>
      <c r="B345">
        <v>0</v>
      </c>
      <c r="C345">
        <v>3</v>
      </c>
      <c r="D345" s="2">
        <v>2</v>
      </c>
      <c r="E345" s="1">
        <v>3</v>
      </c>
      <c r="F345" s="1">
        <v>21</v>
      </c>
      <c r="I345" s="1">
        <v>5.8999999999999997E-2</v>
      </c>
      <c r="K345" s="1">
        <v>7</v>
      </c>
      <c r="Q345" s="1">
        <v>14</v>
      </c>
      <c r="R345" s="1"/>
      <c r="AU345" s="1">
        <v>26</v>
      </c>
      <c r="AV345" t="s">
        <v>1040</v>
      </c>
      <c r="AW345" s="1" t="s">
        <v>164</v>
      </c>
      <c r="AX345" s="1" t="s">
        <v>161</v>
      </c>
      <c r="AY345" s="1" t="s">
        <v>217</v>
      </c>
      <c r="AZ345" s="1" t="s">
        <v>936</v>
      </c>
      <c r="BA345" s="2" t="s">
        <v>1041</v>
      </c>
      <c r="BB345" s="1" t="s">
        <v>163</v>
      </c>
      <c r="BC345" s="1" t="s">
        <v>59</v>
      </c>
      <c r="BD345" s="2" t="s">
        <v>1043</v>
      </c>
    </row>
    <row r="346" spans="1:56" ht="15.75" customHeight="1">
      <c r="A346" s="2">
        <v>20069</v>
      </c>
      <c r="B346">
        <v>0</v>
      </c>
      <c r="C346">
        <v>3</v>
      </c>
      <c r="D346" s="2">
        <v>2</v>
      </c>
      <c r="E346" s="1">
        <v>4</v>
      </c>
      <c r="F346" s="1">
        <v>21</v>
      </c>
      <c r="I346" s="1">
        <v>6.4000000000000001E-2</v>
      </c>
      <c r="K346" s="1">
        <v>13</v>
      </c>
      <c r="Q346" s="1">
        <v>14</v>
      </c>
      <c r="R346" s="1"/>
      <c r="AU346" s="1">
        <v>30</v>
      </c>
      <c r="AV346" t="s">
        <v>1040</v>
      </c>
      <c r="AW346" s="1" t="s">
        <v>165</v>
      </c>
      <c r="AX346" s="1" t="s">
        <v>161</v>
      </c>
      <c r="AY346" s="1" t="s">
        <v>221</v>
      </c>
      <c r="AZ346" s="1" t="s">
        <v>936</v>
      </c>
      <c r="BA346" s="2" t="s">
        <v>1041</v>
      </c>
      <c r="BB346" s="1" t="s">
        <v>167</v>
      </c>
      <c r="BC346" s="1" t="s">
        <v>59</v>
      </c>
      <c r="BD346" s="2" t="s">
        <v>1043</v>
      </c>
    </row>
    <row r="347" spans="1:56" ht="15.75" customHeight="1">
      <c r="A347" s="2">
        <v>20070</v>
      </c>
      <c r="B347">
        <v>2</v>
      </c>
      <c r="C347">
        <v>2</v>
      </c>
      <c r="D347" s="2">
        <v>2</v>
      </c>
      <c r="E347" s="1">
        <v>0</v>
      </c>
      <c r="F347" s="1">
        <v>10.5</v>
      </c>
      <c r="G347" s="2">
        <v>37</v>
      </c>
      <c r="L347">
        <v>8</v>
      </c>
      <c r="Z347">
        <v>1</v>
      </c>
      <c r="AU347" s="1">
        <v>22</v>
      </c>
      <c r="AV347" t="s">
        <v>1044</v>
      </c>
      <c r="AW347" s="1" t="s">
        <v>916</v>
      </c>
      <c r="AX347" s="1" t="s">
        <v>140</v>
      </c>
      <c r="AY347" t="s">
        <v>423</v>
      </c>
      <c r="AZ347" s="2" t="s">
        <v>921</v>
      </c>
      <c r="BA347" s="2" t="s">
        <v>1048</v>
      </c>
      <c r="BB347" s="1" t="s">
        <v>143</v>
      </c>
      <c r="BC347" s="1" t="s">
        <v>59</v>
      </c>
      <c r="BD347" s="2" t="s">
        <v>1050</v>
      </c>
    </row>
    <row r="348" spans="1:56" ht="15.75" customHeight="1">
      <c r="A348" s="2">
        <v>20070</v>
      </c>
      <c r="B348">
        <v>2</v>
      </c>
      <c r="C348">
        <v>2</v>
      </c>
      <c r="D348" s="2">
        <v>2</v>
      </c>
      <c r="E348" s="1">
        <v>1</v>
      </c>
      <c r="F348" s="1">
        <v>21</v>
      </c>
      <c r="G348" s="2">
        <v>40</v>
      </c>
      <c r="L348">
        <v>8</v>
      </c>
      <c r="Z348">
        <v>1</v>
      </c>
      <c r="AU348" s="1">
        <v>22</v>
      </c>
      <c r="AV348" t="s">
        <v>1044</v>
      </c>
      <c r="AW348" s="1" t="s">
        <v>917</v>
      </c>
      <c r="AX348" s="1" t="s">
        <v>146</v>
      </c>
      <c r="AY348" t="s">
        <v>423</v>
      </c>
      <c r="AZ348" s="2" t="s">
        <v>921</v>
      </c>
      <c r="BA348" s="2" t="s">
        <v>1048</v>
      </c>
      <c r="BB348" s="1" t="s">
        <v>143</v>
      </c>
      <c r="BC348" s="1" t="s">
        <v>59</v>
      </c>
      <c r="BD348" s="2" t="s">
        <v>1050</v>
      </c>
    </row>
    <row r="349" spans="1:56" ht="15.75" customHeight="1">
      <c r="A349" s="2">
        <v>20070</v>
      </c>
      <c r="B349">
        <v>2</v>
      </c>
      <c r="C349">
        <v>2</v>
      </c>
      <c r="D349" s="2">
        <v>2</v>
      </c>
      <c r="E349" s="1">
        <v>2</v>
      </c>
      <c r="F349" s="1">
        <v>21</v>
      </c>
      <c r="G349" s="2">
        <v>43</v>
      </c>
      <c r="L349">
        <v>8</v>
      </c>
      <c r="Z349">
        <v>1</v>
      </c>
      <c r="AU349" s="1">
        <v>26</v>
      </c>
      <c r="AV349" t="s">
        <v>1044</v>
      </c>
      <c r="AW349" s="1" t="s">
        <v>918</v>
      </c>
      <c r="AX349" s="1" t="s">
        <v>146</v>
      </c>
      <c r="AY349" t="s">
        <v>423</v>
      </c>
      <c r="AZ349" s="2" t="s">
        <v>921</v>
      </c>
      <c r="BA349" s="2" t="s">
        <v>1048</v>
      </c>
      <c r="BB349" s="1" t="s">
        <v>148</v>
      </c>
      <c r="BC349" s="1" t="s">
        <v>59</v>
      </c>
      <c r="BD349" s="2" t="s">
        <v>1050</v>
      </c>
    </row>
    <row r="350" spans="1:56" ht="15.75" customHeight="1">
      <c r="A350" s="2">
        <v>20070</v>
      </c>
      <c r="B350">
        <v>2</v>
      </c>
      <c r="C350">
        <v>2</v>
      </c>
      <c r="D350" s="2">
        <v>2</v>
      </c>
      <c r="E350" s="1">
        <v>3</v>
      </c>
      <c r="F350" s="1">
        <v>21</v>
      </c>
      <c r="G350" s="2">
        <v>46</v>
      </c>
      <c r="L350">
        <v>15</v>
      </c>
      <c r="Z350">
        <v>1</v>
      </c>
      <c r="AU350" s="1">
        <v>26</v>
      </c>
      <c r="AV350" t="s">
        <v>1044</v>
      </c>
      <c r="AW350" s="1" t="s">
        <v>919</v>
      </c>
      <c r="AX350" s="1" t="s">
        <v>146</v>
      </c>
      <c r="AY350" t="s">
        <v>423</v>
      </c>
      <c r="AZ350" s="2" t="s">
        <v>871</v>
      </c>
      <c r="BA350" s="2" t="s">
        <v>1048</v>
      </c>
      <c r="BB350" s="1" t="s">
        <v>148</v>
      </c>
      <c r="BC350" s="1" t="s">
        <v>59</v>
      </c>
      <c r="BD350" s="2" t="s">
        <v>1050</v>
      </c>
    </row>
    <row r="351" spans="1:56" ht="15.75" customHeight="1">
      <c r="A351" s="2">
        <v>20070</v>
      </c>
      <c r="B351">
        <v>2</v>
      </c>
      <c r="C351">
        <v>2</v>
      </c>
      <c r="D351" s="2">
        <v>2</v>
      </c>
      <c r="E351" s="1">
        <v>4</v>
      </c>
      <c r="F351" s="1">
        <v>21</v>
      </c>
      <c r="G351" s="2">
        <v>49</v>
      </c>
      <c r="L351">
        <v>15</v>
      </c>
      <c r="Z351">
        <v>2</v>
      </c>
      <c r="AU351" s="1">
        <v>30</v>
      </c>
      <c r="AV351" t="s">
        <v>1044</v>
      </c>
      <c r="AW351" s="1" t="s">
        <v>920</v>
      </c>
      <c r="AX351" s="1" t="s">
        <v>146</v>
      </c>
      <c r="AY351" t="s">
        <v>426</v>
      </c>
      <c r="AZ351" s="2" t="s">
        <v>871</v>
      </c>
      <c r="BA351" s="2" t="s">
        <v>1048</v>
      </c>
      <c r="BB351" s="1" t="s">
        <v>152</v>
      </c>
      <c r="BC351" s="1" t="s">
        <v>59</v>
      </c>
      <c r="BD351" s="2" t="s">
        <v>1050</v>
      </c>
    </row>
    <row r="352" spans="1:56" ht="15.75" customHeight="1">
      <c r="A352" s="2">
        <v>20071</v>
      </c>
      <c r="B352">
        <v>0</v>
      </c>
      <c r="C352">
        <v>3</v>
      </c>
      <c r="D352" s="2">
        <v>2</v>
      </c>
      <c r="E352" s="1">
        <v>0</v>
      </c>
      <c r="G352" s="2">
        <v>37</v>
      </c>
      <c r="O352" s="1">
        <v>6</v>
      </c>
      <c r="P352" s="1"/>
      <c r="AH352">
        <v>2</v>
      </c>
      <c r="AR352" s="2">
        <v>6</v>
      </c>
      <c r="AU352" s="1">
        <v>22</v>
      </c>
      <c r="AV352" t="s">
        <v>1051</v>
      </c>
      <c r="AW352" s="1" t="s">
        <v>927</v>
      </c>
      <c r="AX352" s="1" t="s">
        <v>981</v>
      </c>
      <c r="AY352" t="s">
        <v>411</v>
      </c>
      <c r="AZ352" s="2" t="s">
        <v>465</v>
      </c>
      <c r="BA352" s="2" t="s">
        <v>1056</v>
      </c>
      <c r="BB352" s="1" t="s">
        <v>158</v>
      </c>
      <c r="BC352" s="1" t="s">
        <v>59</v>
      </c>
      <c r="BD352" s="2" t="s">
        <v>1057</v>
      </c>
    </row>
    <row r="353" spans="1:56" ht="15.75" customHeight="1">
      <c r="A353" s="2">
        <v>20071</v>
      </c>
      <c r="B353">
        <v>0</v>
      </c>
      <c r="C353">
        <v>3</v>
      </c>
      <c r="D353" s="2">
        <v>2</v>
      </c>
      <c r="E353" s="1">
        <v>1</v>
      </c>
      <c r="G353" s="2">
        <v>40</v>
      </c>
      <c r="O353" s="1">
        <v>11</v>
      </c>
      <c r="P353" s="1"/>
      <c r="AH353">
        <v>2</v>
      </c>
      <c r="AR353" s="2">
        <v>6</v>
      </c>
      <c r="AU353" s="1">
        <v>22</v>
      </c>
      <c r="AV353" t="s">
        <v>1051</v>
      </c>
      <c r="AW353" s="1" t="s">
        <v>925</v>
      </c>
      <c r="AX353" s="1" t="s">
        <v>982</v>
      </c>
      <c r="AY353" t="s">
        <v>411</v>
      </c>
      <c r="AZ353" s="2" t="s">
        <v>465</v>
      </c>
      <c r="BA353" s="2" t="s">
        <v>1056</v>
      </c>
      <c r="BB353" s="1" t="s">
        <v>158</v>
      </c>
      <c r="BC353" s="1" t="s">
        <v>59</v>
      </c>
      <c r="BD353" s="2" t="s">
        <v>1057</v>
      </c>
    </row>
    <row r="354" spans="1:56" ht="15.75" customHeight="1">
      <c r="A354" s="2">
        <v>20071</v>
      </c>
      <c r="B354">
        <v>0</v>
      </c>
      <c r="C354">
        <v>3</v>
      </c>
      <c r="D354" s="2">
        <v>2</v>
      </c>
      <c r="E354" s="1">
        <v>2</v>
      </c>
      <c r="G354" s="2">
        <v>43</v>
      </c>
      <c r="O354" s="1">
        <v>11</v>
      </c>
      <c r="P354" s="1"/>
      <c r="AH354">
        <v>2</v>
      </c>
      <c r="AR354" s="2">
        <v>6</v>
      </c>
      <c r="AU354" s="1">
        <v>26</v>
      </c>
      <c r="AV354" t="s">
        <v>1051</v>
      </c>
      <c r="AW354" s="1" t="s">
        <v>929</v>
      </c>
      <c r="AX354" s="1" t="s">
        <v>982</v>
      </c>
      <c r="AY354" t="s">
        <v>411</v>
      </c>
      <c r="AZ354" s="2" t="s">
        <v>465</v>
      </c>
      <c r="BA354" s="2" t="s">
        <v>1056</v>
      </c>
      <c r="BB354" s="1" t="s">
        <v>163</v>
      </c>
      <c r="BC354" s="1" t="s">
        <v>59</v>
      </c>
      <c r="BD354" s="2" t="s">
        <v>1057</v>
      </c>
    </row>
    <row r="355" spans="1:56" ht="15.75" customHeight="1">
      <c r="A355" s="2">
        <v>20071</v>
      </c>
      <c r="B355">
        <v>0</v>
      </c>
      <c r="C355">
        <v>3</v>
      </c>
      <c r="D355" s="2">
        <v>2</v>
      </c>
      <c r="E355" s="1">
        <v>3</v>
      </c>
      <c r="G355" s="2">
        <v>46</v>
      </c>
      <c r="O355" s="1">
        <v>11</v>
      </c>
      <c r="P355" s="1"/>
      <c r="AH355">
        <v>2</v>
      </c>
      <c r="AR355" s="2">
        <v>11</v>
      </c>
      <c r="AU355" s="1">
        <v>26</v>
      </c>
      <c r="AV355" t="s">
        <v>1051</v>
      </c>
      <c r="AW355" s="1" t="s">
        <v>931</v>
      </c>
      <c r="AX355" s="1" t="s">
        <v>982</v>
      </c>
      <c r="AY355" t="s">
        <v>411</v>
      </c>
      <c r="AZ355" s="2" t="s">
        <v>468</v>
      </c>
      <c r="BA355" s="2" t="s">
        <v>1056</v>
      </c>
      <c r="BB355" s="1" t="s">
        <v>163</v>
      </c>
      <c r="BC355" s="1" t="s">
        <v>59</v>
      </c>
      <c r="BD355" s="2" t="s">
        <v>1057</v>
      </c>
    </row>
    <row r="356" spans="1:56" ht="15.75" customHeight="1">
      <c r="A356" s="2">
        <v>20071</v>
      </c>
      <c r="B356">
        <v>0</v>
      </c>
      <c r="C356">
        <v>3</v>
      </c>
      <c r="D356" s="2">
        <v>2</v>
      </c>
      <c r="E356" s="1">
        <v>4</v>
      </c>
      <c r="G356" s="2">
        <v>49</v>
      </c>
      <c r="O356" s="1">
        <v>11</v>
      </c>
      <c r="P356" s="1"/>
      <c r="AH356">
        <v>3</v>
      </c>
      <c r="AR356" s="2">
        <v>11</v>
      </c>
      <c r="AU356" s="1">
        <v>30</v>
      </c>
      <c r="AV356" t="s">
        <v>1051</v>
      </c>
      <c r="AW356" s="1" t="s">
        <v>933</v>
      </c>
      <c r="AX356" s="1" t="s">
        <v>982</v>
      </c>
      <c r="AY356" s="2" t="s">
        <v>414</v>
      </c>
      <c r="AZ356" s="2" t="s">
        <v>468</v>
      </c>
      <c r="BA356" s="2" t="s">
        <v>1056</v>
      </c>
      <c r="BB356" s="1" t="s">
        <v>167</v>
      </c>
      <c r="BC356" s="1" t="s">
        <v>59</v>
      </c>
      <c r="BD356" s="2" t="s">
        <v>1057</v>
      </c>
    </row>
    <row r="357" spans="1:56" ht="15.75" customHeight="1">
      <c r="A357" s="2">
        <v>20072</v>
      </c>
      <c r="B357">
        <v>2</v>
      </c>
      <c r="C357">
        <v>2</v>
      </c>
      <c r="D357" s="2">
        <v>2</v>
      </c>
      <c r="E357" s="1">
        <v>0</v>
      </c>
      <c r="G357" s="2">
        <v>37</v>
      </c>
      <c r="Z357">
        <v>1</v>
      </c>
      <c r="AO357">
        <v>8</v>
      </c>
      <c r="AR357" s="2">
        <v>6</v>
      </c>
      <c r="AU357" s="1">
        <v>22</v>
      </c>
      <c r="AV357" t="s">
        <v>1058</v>
      </c>
      <c r="AW357" s="1" t="s">
        <v>916</v>
      </c>
      <c r="AX357" s="1" t="s">
        <v>423</v>
      </c>
      <c r="AY357" t="s">
        <v>1038</v>
      </c>
      <c r="AZ357" t="s">
        <v>443</v>
      </c>
      <c r="BA357" s="2" t="s">
        <v>1060</v>
      </c>
      <c r="BB357" s="1" t="s">
        <v>143</v>
      </c>
      <c r="BC357" s="1" t="s">
        <v>59</v>
      </c>
      <c r="BD357" s="2" t="s">
        <v>1061</v>
      </c>
    </row>
    <row r="358" spans="1:56" ht="15.75" customHeight="1">
      <c r="A358" s="2">
        <v>20072</v>
      </c>
      <c r="B358">
        <v>2</v>
      </c>
      <c r="C358">
        <v>2</v>
      </c>
      <c r="D358" s="2">
        <v>2</v>
      </c>
      <c r="E358" s="1">
        <v>1</v>
      </c>
      <c r="G358" s="2">
        <v>40</v>
      </c>
      <c r="Z358">
        <v>2</v>
      </c>
      <c r="AO358">
        <v>8</v>
      </c>
      <c r="AR358" s="2">
        <v>6</v>
      </c>
      <c r="AU358" s="1">
        <v>22</v>
      </c>
      <c r="AV358" t="s">
        <v>1058</v>
      </c>
      <c r="AW358" s="1" t="s">
        <v>917</v>
      </c>
      <c r="AX358" s="1" t="s">
        <v>426</v>
      </c>
      <c r="AY358" t="s">
        <v>1038</v>
      </c>
      <c r="AZ358" t="s">
        <v>443</v>
      </c>
      <c r="BA358" s="2" t="s">
        <v>1060</v>
      </c>
      <c r="BB358" s="1" t="s">
        <v>143</v>
      </c>
      <c r="BC358" s="1" t="s">
        <v>59</v>
      </c>
      <c r="BD358" s="2" t="s">
        <v>1061</v>
      </c>
    </row>
    <row r="359" spans="1:56" ht="15.75" customHeight="1">
      <c r="A359" s="2">
        <v>20072</v>
      </c>
      <c r="B359">
        <v>2</v>
      </c>
      <c r="C359">
        <v>2</v>
      </c>
      <c r="D359" s="2">
        <v>2</v>
      </c>
      <c r="E359" s="1">
        <v>2</v>
      </c>
      <c r="G359" s="2">
        <v>43</v>
      </c>
      <c r="Z359">
        <v>2</v>
      </c>
      <c r="AO359">
        <v>8</v>
      </c>
      <c r="AR359" s="2">
        <v>6</v>
      </c>
      <c r="AU359" s="1">
        <v>26</v>
      </c>
      <c r="AV359" t="s">
        <v>1058</v>
      </c>
      <c r="AW359" s="1" t="s">
        <v>918</v>
      </c>
      <c r="AX359" s="1" t="s">
        <v>426</v>
      </c>
      <c r="AY359" t="s">
        <v>1038</v>
      </c>
      <c r="AZ359" t="s">
        <v>443</v>
      </c>
      <c r="BA359" s="2" t="s">
        <v>1060</v>
      </c>
      <c r="BB359" s="1" t="s">
        <v>148</v>
      </c>
      <c r="BC359" s="1" t="s">
        <v>59</v>
      </c>
      <c r="BD359" s="2" t="s">
        <v>1061</v>
      </c>
    </row>
    <row r="360" spans="1:56" ht="15.75" customHeight="1">
      <c r="A360" s="2">
        <v>20072</v>
      </c>
      <c r="B360">
        <v>2</v>
      </c>
      <c r="C360">
        <v>2</v>
      </c>
      <c r="D360" s="2">
        <v>2</v>
      </c>
      <c r="E360" s="1">
        <v>3</v>
      </c>
      <c r="G360" s="2">
        <v>46</v>
      </c>
      <c r="Z360">
        <v>2</v>
      </c>
      <c r="AO360">
        <v>8</v>
      </c>
      <c r="AR360" s="2">
        <v>11</v>
      </c>
      <c r="AU360" s="1">
        <v>26</v>
      </c>
      <c r="AV360" t="s">
        <v>1058</v>
      </c>
      <c r="AW360" s="1" t="s">
        <v>919</v>
      </c>
      <c r="AX360" s="1" t="s">
        <v>426</v>
      </c>
      <c r="AY360" t="s">
        <v>1038</v>
      </c>
      <c r="AZ360" t="s">
        <v>447</v>
      </c>
      <c r="BA360" s="2" t="s">
        <v>1060</v>
      </c>
      <c r="BB360" s="1" t="s">
        <v>148</v>
      </c>
      <c r="BC360" s="1" t="s">
        <v>59</v>
      </c>
      <c r="BD360" s="2" t="s">
        <v>1061</v>
      </c>
    </row>
    <row r="361" spans="1:56" ht="15.75" customHeight="1">
      <c r="A361" s="2">
        <v>20072</v>
      </c>
      <c r="B361">
        <v>2</v>
      </c>
      <c r="C361">
        <v>2</v>
      </c>
      <c r="D361" s="2">
        <v>2</v>
      </c>
      <c r="E361" s="1">
        <v>4</v>
      </c>
      <c r="G361" s="2">
        <v>49</v>
      </c>
      <c r="Z361">
        <v>2</v>
      </c>
      <c r="AO361">
        <v>16</v>
      </c>
      <c r="AR361" s="2">
        <v>11</v>
      </c>
      <c r="AU361" s="1">
        <v>30</v>
      </c>
      <c r="AV361" t="s">
        <v>1058</v>
      </c>
      <c r="AW361" s="1" t="s">
        <v>920</v>
      </c>
      <c r="AX361" s="1" t="s">
        <v>426</v>
      </c>
      <c r="AY361" t="s">
        <v>794</v>
      </c>
      <c r="AZ361" t="s">
        <v>447</v>
      </c>
      <c r="BA361" s="2" t="s">
        <v>1060</v>
      </c>
      <c r="BB361" s="1" t="s">
        <v>152</v>
      </c>
      <c r="BC361" s="1" t="s">
        <v>59</v>
      </c>
      <c r="BD361" s="2" t="s">
        <v>1061</v>
      </c>
    </row>
    <row r="362" spans="1:56" ht="15.75" customHeight="1">
      <c r="A362" s="2">
        <v>20073</v>
      </c>
      <c r="B362">
        <v>2</v>
      </c>
      <c r="C362">
        <v>3</v>
      </c>
      <c r="D362" s="2">
        <v>2</v>
      </c>
      <c r="E362" s="1">
        <v>0</v>
      </c>
      <c r="F362" s="1">
        <v>10.5</v>
      </c>
      <c r="G362" s="2">
        <v>37</v>
      </c>
      <c r="L362">
        <v>8</v>
      </c>
      <c r="Z362">
        <v>1</v>
      </c>
      <c r="AU362" s="1">
        <v>22</v>
      </c>
      <c r="AV362" t="s">
        <v>1059</v>
      </c>
      <c r="AW362" s="1" t="s">
        <v>916</v>
      </c>
      <c r="AX362" s="1" t="s">
        <v>140</v>
      </c>
      <c r="AY362" s="2" t="s">
        <v>921</v>
      </c>
      <c r="AZ362" s="1" t="s">
        <v>423</v>
      </c>
      <c r="BA362" s="2" t="s">
        <v>1062</v>
      </c>
      <c r="BB362" s="1" t="s">
        <v>143</v>
      </c>
      <c r="BC362" s="1" t="s">
        <v>59</v>
      </c>
      <c r="BD362" s="2" t="s">
        <v>1063</v>
      </c>
    </row>
    <row r="363" spans="1:56" ht="15.75" customHeight="1">
      <c r="A363" s="2">
        <v>20073</v>
      </c>
      <c r="B363">
        <v>2</v>
      </c>
      <c r="C363">
        <v>3</v>
      </c>
      <c r="D363" s="2">
        <v>2</v>
      </c>
      <c r="E363" s="1">
        <v>1</v>
      </c>
      <c r="F363" s="1">
        <v>21</v>
      </c>
      <c r="G363" s="2">
        <v>40</v>
      </c>
      <c r="L363">
        <v>8</v>
      </c>
      <c r="Z363">
        <v>1</v>
      </c>
      <c r="AU363" s="1">
        <v>22</v>
      </c>
      <c r="AV363" t="s">
        <v>1059</v>
      </c>
      <c r="AW363" s="1" t="s">
        <v>917</v>
      </c>
      <c r="AX363" s="1" t="s">
        <v>146</v>
      </c>
      <c r="AY363" s="2" t="s">
        <v>921</v>
      </c>
      <c r="AZ363" s="1" t="s">
        <v>423</v>
      </c>
      <c r="BA363" s="2" t="s">
        <v>1062</v>
      </c>
      <c r="BB363" s="1" t="s">
        <v>143</v>
      </c>
      <c r="BC363" s="1" t="s">
        <v>59</v>
      </c>
      <c r="BD363" s="2" t="s">
        <v>1063</v>
      </c>
    </row>
    <row r="364" spans="1:56" ht="15.75" customHeight="1">
      <c r="A364" s="2">
        <v>20073</v>
      </c>
      <c r="B364">
        <v>2</v>
      </c>
      <c r="C364">
        <v>3</v>
      </c>
      <c r="D364" s="2">
        <v>2</v>
      </c>
      <c r="E364" s="1">
        <v>2</v>
      </c>
      <c r="F364" s="1">
        <v>21</v>
      </c>
      <c r="G364" s="2">
        <v>43</v>
      </c>
      <c r="L364">
        <v>8</v>
      </c>
      <c r="Z364">
        <v>1</v>
      </c>
      <c r="AU364" s="1">
        <v>26</v>
      </c>
      <c r="AV364" t="s">
        <v>1059</v>
      </c>
      <c r="AW364" s="1" t="s">
        <v>918</v>
      </c>
      <c r="AX364" s="1" t="s">
        <v>146</v>
      </c>
      <c r="AY364" s="2" t="s">
        <v>921</v>
      </c>
      <c r="AZ364" s="1" t="s">
        <v>423</v>
      </c>
      <c r="BA364" s="2" t="s">
        <v>1062</v>
      </c>
      <c r="BB364" s="1" t="s">
        <v>148</v>
      </c>
      <c r="BC364" s="1" t="s">
        <v>59</v>
      </c>
      <c r="BD364" s="2" t="s">
        <v>1063</v>
      </c>
    </row>
    <row r="365" spans="1:56" ht="15.75" customHeight="1">
      <c r="A365" s="2">
        <v>20073</v>
      </c>
      <c r="B365">
        <v>2</v>
      </c>
      <c r="C365">
        <v>3</v>
      </c>
      <c r="D365" s="2">
        <v>2</v>
      </c>
      <c r="E365" s="1">
        <v>3</v>
      </c>
      <c r="F365" s="1">
        <v>21</v>
      </c>
      <c r="G365" s="2">
        <v>46</v>
      </c>
      <c r="L365">
        <v>8</v>
      </c>
      <c r="Z365">
        <v>2</v>
      </c>
      <c r="AU365" s="1">
        <v>26</v>
      </c>
      <c r="AV365" t="s">
        <v>1059</v>
      </c>
      <c r="AW365" s="1" t="s">
        <v>919</v>
      </c>
      <c r="AX365" s="1" t="s">
        <v>146</v>
      </c>
      <c r="AY365" s="2" t="s">
        <v>921</v>
      </c>
      <c r="AZ365" s="1" t="s">
        <v>426</v>
      </c>
      <c r="BA365" s="2" t="s">
        <v>1062</v>
      </c>
      <c r="BB365" s="1" t="s">
        <v>148</v>
      </c>
      <c r="BC365" s="1" t="s">
        <v>59</v>
      </c>
      <c r="BD365" s="2" t="s">
        <v>1063</v>
      </c>
    </row>
    <row r="366" spans="1:56" ht="15.75" customHeight="1">
      <c r="A366" s="2">
        <v>20073</v>
      </c>
      <c r="B366">
        <v>2</v>
      </c>
      <c r="C366">
        <v>3</v>
      </c>
      <c r="D366" s="2">
        <v>2</v>
      </c>
      <c r="E366" s="1">
        <v>4</v>
      </c>
      <c r="F366" s="1">
        <v>21</v>
      </c>
      <c r="G366" s="2">
        <v>49</v>
      </c>
      <c r="L366">
        <v>15</v>
      </c>
      <c r="Z366">
        <v>2</v>
      </c>
      <c r="AU366" s="1">
        <v>30</v>
      </c>
      <c r="AV366" t="s">
        <v>1059</v>
      </c>
      <c r="AW366" s="1" t="s">
        <v>920</v>
      </c>
      <c r="AX366" s="1" t="s">
        <v>146</v>
      </c>
      <c r="AY366" s="2" t="s">
        <v>871</v>
      </c>
      <c r="AZ366" s="1" t="s">
        <v>426</v>
      </c>
      <c r="BA366" s="2" t="s">
        <v>1062</v>
      </c>
      <c r="BB366" s="1" t="s">
        <v>152</v>
      </c>
      <c r="BC366" s="1" t="s">
        <v>59</v>
      </c>
      <c r="BD366" s="2" t="s">
        <v>1063</v>
      </c>
    </row>
    <row r="367" spans="1:56" ht="15.75" customHeight="1">
      <c r="A367" s="2">
        <v>20074</v>
      </c>
      <c r="B367">
        <v>0</v>
      </c>
      <c r="C367">
        <v>1</v>
      </c>
      <c r="D367" s="2">
        <v>2</v>
      </c>
      <c r="E367" s="1">
        <v>0</v>
      </c>
      <c r="F367" s="1">
        <v>10.5</v>
      </c>
      <c r="G367" s="2">
        <v>37</v>
      </c>
      <c r="K367" s="1">
        <v>7</v>
      </c>
      <c r="P367">
        <v>13</v>
      </c>
      <c r="AU367" s="1">
        <v>22</v>
      </c>
      <c r="AV367" t="s">
        <v>1184</v>
      </c>
      <c r="AW367" s="1" t="s">
        <v>927</v>
      </c>
      <c r="AX367" s="1" t="s">
        <v>155</v>
      </c>
      <c r="AY367" s="1" t="s">
        <v>156</v>
      </c>
      <c r="AZ367" s="1" t="s">
        <v>1181</v>
      </c>
      <c r="BA367" s="2" t="s">
        <v>1185</v>
      </c>
      <c r="BB367" s="1" t="s">
        <v>158</v>
      </c>
      <c r="BC367" s="1" t="s">
        <v>59</v>
      </c>
      <c r="BD367" s="2" t="s">
        <v>1186</v>
      </c>
    </row>
    <row r="368" spans="1:56" ht="15.75" customHeight="1">
      <c r="A368" s="2">
        <v>20074</v>
      </c>
      <c r="B368">
        <v>0</v>
      </c>
      <c r="C368">
        <v>1</v>
      </c>
      <c r="D368" s="2">
        <v>2</v>
      </c>
      <c r="E368" s="1">
        <v>1</v>
      </c>
      <c r="F368" s="1">
        <v>21</v>
      </c>
      <c r="G368" s="2">
        <v>40</v>
      </c>
      <c r="K368" s="1">
        <v>7</v>
      </c>
      <c r="P368">
        <v>13</v>
      </c>
      <c r="AU368" s="1">
        <v>22</v>
      </c>
      <c r="AV368" t="s">
        <v>1184</v>
      </c>
      <c r="AW368" s="1" t="s">
        <v>925</v>
      </c>
      <c r="AX368" s="1" t="s">
        <v>161</v>
      </c>
      <c r="AY368" s="1" t="s">
        <v>156</v>
      </c>
      <c r="AZ368" s="1" t="s">
        <v>1181</v>
      </c>
      <c r="BA368" s="2" t="s">
        <v>1185</v>
      </c>
      <c r="BB368" s="1" t="s">
        <v>158</v>
      </c>
      <c r="BC368" s="1" t="s">
        <v>59</v>
      </c>
      <c r="BD368" s="2" t="s">
        <v>1186</v>
      </c>
    </row>
    <row r="369" spans="1:56" ht="15.75" customHeight="1">
      <c r="A369" s="2">
        <v>20074</v>
      </c>
      <c r="B369">
        <v>0</v>
      </c>
      <c r="C369">
        <v>1</v>
      </c>
      <c r="D369" s="2">
        <v>2</v>
      </c>
      <c r="E369" s="1">
        <v>2</v>
      </c>
      <c r="F369" s="1">
        <v>21</v>
      </c>
      <c r="G369" s="2">
        <v>43</v>
      </c>
      <c r="K369" s="1">
        <v>7</v>
      </c>
      <c r="P369">
        <v>13</v>
      </c>
      <c r="AU369" s="1">
        <v>26</v>
      </c>
      <c r="AV369" t="s">
        <v>1184</v>
      </c>
      <c r="AW369" s="1" t="s">
        <v>929</v>
      </c>
      <c r="AX369" s="1" t="s">
        <v>161</v>
      </c>
      <c r="AY369" s="1" t="s">
        <v>156</v>
      </c>
      <c r="AZ369" s="1" t="s">
        <v>1181</v>
      </c>
      <c r="BA369" s="2" t="s">
        <v>1185</v>
      </c>
      <c r="BB369" s="1" t="s">
        <v>163</v>
      </c>
      <c r="BC369" s="1" t="s">
        <v>59</v>
      </c>
      <c r="BD369" s="2" t="s">
        <v>1186</v>
      </c>
    </row>
    <row r="370" spans="1:56" ht="15.75" customHeight="1">
      <c r="A370" s="2">
        <v>20074</v>
      </c>
      <c r="B370">
        <v>0</v>
      </c>
      <c r="C370">
        <v>1</v>
      </c>
      <c r="D370" s="2">
        <v>2</v>
      </c>
      <c r="E370" s="1">
        <v>3</v>
      </c>
      <c r="F370" s="1">
        <v>21</v>
      </c>
      <c r="G370" s="2">
        <v>46</v>
      </c>
      <c r="K370" s="1">
        <v>7</v>
      </c>
      <c r="P370">
        <v>26</v>
      </c>
      <c r="AU370" s="1">
        <v>26</v>
      </c>
      <c r="AV370" t="s">
        <v>1184</v>
      </c>
      <c r="AW370" s="1" t="s">
        <v>931</v>
      </c>
      <c r="AX370" s="1" t="s">
        <v>161</v>
      </c>
      <c r="AY370" s="1" t="s">
        <v>156</v>
      </c>
      <c r="AZ370" s="1" t="s">
        <v>1178</v>
      </c>
      <c r="BA370" s="2" t="s">
        <v>1185</v>
      </c>
      <c r="BB370" s="1" t="s">
        <v>163</v>
      </c>
      <c r="BC370" s="1" t="s">
        <v>59</v>
      </c>
      <c r="BD370" s="2" t="s">
        <v>1186</v>
      </c>
    </row>
    <row r="371" spans="1:56" ht="15.75" customHeight="1">
      <c r="A371" s="2">
        <v>20074</v>
      </c>
      <c r="B371">
        <v>0</v>
      </c>
      <c r="C371">
        <v>1</v>
      </c>
      <c r="D371" s="2">
        <v>2</v>
      </c>
      <c r="E371" s="1">
        <v>4</v>
      </c>
      <c r="F371" s="1">
        <v>21</v>
      </c>
      <c r="G371" s="2">
        <v>49</v>
      </c>
      <c r="K371" s="1">
        <v>13</v>
      </c>
      <c r="P371">
        <v>26</v>
      </c>
      <c r="AU371" s="1">
        <v>30</v>
      </c>
      <c r="AV371" t="s">
        <v>1184</v>
      </c>
      <c r="AW371" s="1" t="s">
        <v>933</v>
      </c>
      <c r="AX371" s="1" t="s">
        <v>161</v>
      </c>
      <c r="AY371" s="1" t="s">
        <v>166</v>
      </c>
      <c r="AZ371" s="1" t="s">
        <v>1178</v>
      </c>
      <c r="BA371" s="2" t="s">
        <v>1185</v>
      </c>
      <c r="BB371" s="1" t="s">
        <v>167</v>
      </c>
      <c r="BC371" s="1" t="s">
        <v>59</v>
      </c>
      <c r="BD371" s="2" t="s">
        <v>1186</v>
      </c>
    </row>
    <row r="372" spans="1:56" ht="15.75" customHeight="1"/>
    <row r="373" spans="1:56" ht="15.75" customHeight="1"/>
    <row r="374" spans="1:56" ht="15.75" customHeight="1"/>
    <row r="375" spans="1:56" ht="15.75" customHeight="1"/>
    <row r="376" spans="1:56" ht="15.75" customHeight="1"/>
    <row r="377" spans="1:56" ht="15.75" customHeight="1"/>
    <row r="378" spans="1:56" ht="15.75" customHeight="1"/>
    <row r="379" spans="1:56" ht="15.75" customHeight="1"/>
    <row r="380" spans="1:56" ht="15.75" customHeight="1"/>
    <row r="381" spans="1:56" ht="15.75" customHeight="1"/>
    <row r="382" spans="1:56" ht="15.75" customHeight="1"/>
    <row r="383" spans="1:56" ht="15.75" customHeight="1"/>
    <row r="384" spans="1:56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024"/>
  <sheetViews>
    <sheetView topLeftCell="BA1" workbookViewId="0">
      <pane ySplit="1" topLeftCell="A287" activePane="bottomLeft" state="frozen"/>
      <selection pane="bottomLeft" activeCell="BD312" sqref="BD312"/>
    </sheetView>
  </sheetViews>
  <sheetFormatPr defaultColWidth="12.625" defaultRowHeight="15" customHeight="1"/>
  <cols>
    <col min="1" max="36" width="8.625" customWidth="1"/>
    <col min="37" max="37" width="10.375" customWidth="1"/>
    <col min="38" max="38" width="8.625" customWidth="1"/>
    <col min="39" max="39" width="11.875" customWidth="1"/>
    <col min="40" max="42" width="11.75" customWidth="1"/>
    <col min="43" max="45" width="10.625" customWidth="1"/>
    <col min="46" max="47" width="8.625" customWidth="1"/>
    <col min="48" max="48" width="33.375" customWidth="1"/>
    <col min="49" max="49" width="38.25" customWidth="1"/>
    <col min="50" max="50" width="73.625" customWidth="1"/>
    <col min="51" max="51" width="77" customWidth="1"/>
    <col min="52" max="52" width="75.125" customWidth="1"/>
    <col min="53" max="53" width="51.125" customWidth="1"/>
    <col min="54" max="54" width="16.75" customWidth="1"/>
    <col min="55" max="55" width="19.75" customWidth="1"/>
    <col min="56" max="56" width="237.875" customWidth="1"/>
    <col min="57" max="57" width="8.625" customWidth="1"/>
  </cols>
  <sheetData>
    <row r="1" spans="1:56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t="s">
        <v>1136</v>
      </c>
      <c r="Q1" s="1" t="s">
        <v>15</v>
      </c>
      <c r="R1" t="s">
        <v>1121</v>
      </c>
      <c r="S1" s="1" t="s">
        <v>16</v>
      </c>
      <c r="T1" t="s">
        <v>1143</v>
      </c>
      <c r="U1" s="1" t="s">
        <v>17</v>
      </c>
      <c r="V1" s="2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2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</row>
    <row r="2" spans="1:56">
      <c r="A2" s="1">
        <v>30001</v>
      </c>
      <c r="B2" s="1">
        <v>2</v>
      </c>
      <c r="C2" s="1">
        <v>0</v>
      </c>
      <c r="D2" s="1">
        <v>3</v>
      </c>
      <c r="E2" s="1">
        <v>0</v>
      </c>
      <c r="G2" s="1">
        <v>52</v>
      </c>
      <c r="H2" s="1">
        <v>30</v>
      </c>
      <c r="J2" s="1">
        <v>4</v>
      </c>
      <c r="N2" s="1">
        <v>17</v>
      </c>
      <c r="AU2" s="1">
        <v>30</v>
      </c>
      <c r="AV2" s="1" t="s">
        <v>474</v>
      </c>
      <c r="AW2" s="1" t="s">
        <v>944</v>
      </c>
      <c r="AX2" s="1" t="s">
        <v>182</v>
      </c>
      <c r="AY2" s="1" t="s">
        <v>193</v>
      </c>
      <c r="AZ2" s="1" t="s">
        <v>253</v>
      </c>
      <c r="BA2" s="1" t="s">
        <v>475</v>
      </c>
      <c r="BB2" s="1" t="s">
        <v>152</v>
      </c>
      <c r="BC2" s="1" t="s">
        <v>476</v>
      </c>
      <c r="BD2" s="5" t="s">
        <v>477</v>
      </c>
    </row>
    <row r="3" spans="1:56">
      <c r="A3" s="1">
        <v>30001</v>
      </c>
      <c r="B3" s="1">
        <v>2</v>
      </c>
      <c r="C3" s="1">
        <v>0</v>
      </c>
      <c r="D3" s="1">
        <v>3</v>
      </c>
      <c r="E3" s="1">
        <v>1</v>
      </c>
      <c r="G3" s="1">
        <v>55</v>
      </c>
      <c r="H3" s="1">
        <v>30</v>
      </c>
      <c r="J3" s="1">
        <v>4</v>
      </c>
      <c r="N3" s="1">
        <v>17</v>
      </c>
      <c r="AU3" s="1">
        <v>35</v>
      </c>
      <c r="AV3" s="1" t="s">
        <v>474</v>
      </c>
      <c r="AW3" s="1" t="s">
        <v>947</v>
      </c>
      <c r="AX3" s="1" t="s">
        <v>182</v>
      </c>
      <c r="AY3" s="1" t="s">
        <v>193</v>
      </c>
      <c r="AZ3" s="1" t="s">
        <v>253</v>
      </c>
      <c r="BA3" s="1" t="s">
        <v>475</v>
      </c>
      <c r="BB3" s="1" t="s">
        <v>478</v>
      </c>
      <c r="BC3" s="1" t="s">
        <v>476</v>
      </c>
      <c r="BD3" s="5" t="s">
        <v>477</v>
      </c>
    </row>
    <row r="4" spans="1:56">
      <c r="A4" s="1">
        <v>30001</v>
      </c>
      <c r="B4" s="1">
        <v>2</v>
      </c>
      <c r="C4" s="1">
        <v>0</v>
      </c>
      <c r="D4" s="1">
        <v>3</v>
      </c>
      <c r="E4" s="1">
        <v>2</v>
      </c>
      <c r="G4" s="1">
        <v>59</v>
      </c>
      <c r="H4" s="1">
        <v>40</v>
      </c>
      <c r="J4" s="1">
        <v>4</v>
      </c>
      <c r="N4" s="1">
        <v>17</v>
      </c>
      <c r="AU4" s="1">
        <v>35</v>
      </c>
      <c r="AV4" s="1" t="s">
        <v>474</v>
      </c>
      <c r="AW4" s="1" t="s">
        <v>950</v>
      </c>
      <c r="AX4" s="1" t="s">
        <v>479</v>
      </c>
      <c r="AY4" s="1" t="s">
        <v>193</v>
      </c>
      <c r="AZ4" s="1" t="s">
        <v>253</v>
      </c>
      <c r="BA4" s="1" t="s">
        <v>475</v>
      </c>
      <c r="BB4" s="1" t="s">
        <v>478</v>
      </c>
      <c r="BC4" s="1" t="s">
        <v>476</v>
      </c>
      <c r="BD4" s="5" t="s">
        <v>477</v>
      </c>
    </row>
    <row r="5" spans="1:56">
      <c r="A5" s="1">
        <v>30001</v>
      </c>
      <c r="B5" s="1">
        <v>2</v>
      </c>
      <c r="C5" s="1">
        <v>0</v>
      </c>
      <c r="D5" s="1">
        <v>3</v>
      </c>
      <c r="E5" s="1">
        <v>3</v>
      </c>
      <c r="G5" s="1">
        <v>62</v>
      </c>
      <c r="H5" s="1">
        <v>40</v>
      </c>
      <c r="J5" s="1">
        <v>6</v>
      </c>
      <c r="N5" s="1">
        <v>17</v>
      </c>
      <c r="AU5" s="1">
        <v>35</v>
      </c>
      <c r="AV5" s="1" t="s">
        <v>474</v>
      </c>
      <c r="AW5" s="1" t="s">
        <v>953</v>
      </c>
      <c r="AX5" s="1" t="s">
        <v>479</v>
      </c>
      <c r="AY5" s="1" t="s">
        <v>480</v>
      </c>
      <c r="AZ5" s="1" t="s">
        <v>253</v>
      </c>
      <c r="BA5" s="1" t="s">
        <v>475</v>
      </c>
      <c r="BB5" s="1" t="s">
        <v>478</v>
      </c>
      <c r="BC5" s="1" t="s">
        <v>476</v>
      </c>
      <c r="BD5" s="5" t="s">
        <v>477</v>
      </c>
    </row>
    <row r="6" spans="1:56">
      <c r="A6" s="1">
        <v>30001</v>
      </c>
      <c r="B6" s="1">
        <v>2</v>
      </c>
      <c r="C6" s="1">
        <v>0</v>
      </c>
      <c r="D6" s="1">
        <v>3</v>
      </c>
      <c r="E6" s="1">
        <v>4</v>
      </c>
      <c r="G6" s="1">
        <v>65</v>
      </c>
      <c r="H6" s="1">
        <v>40</v>
      </c>
      <c r="J6" s="1">
        <v>6</v>
      </c>
      <c r="N6" s="1">
        <v>22</v>
      </c>
      <c r="AU6" s="1">
        <v>40</v>
      </c>
      <c r="AV6" s="1" t="s">
        <v>474</v>
      </c>
      <c r="AW6" s="1" t="s">
        <v>956</v>
      </c>
      <c r="AX6" s="1" t="s">
        <v>479</v>
      </c>
      <c r="AY6" s="1" t="s">
        <v>480</v>
      </c>
      <c r="AZ6" s="1" t="s">
        <v>481</v>
      </c>
      <c r="BA6" s="1" t="s">
        <v>475</v>
      </c>
      <c r="BB6" s="1" t="s">
        <v>482</v>
      </c>
      <c r="BC6" s="1" t="s">
        <v>476</v>
      </c>
      <c r="BD6" s="5" t="s">
        <v>477</v>
      </c>
    </row>
    <row r="7" spans="1:56">
      <c r="A7" s="1">
        <f t="shared" ref="A7:A261" si="0">A2+1</f>
        <v>30002</v>
      </c>
      <c r="B7" s="1">
        <v>2</v>
      </c>
      <c r="C7" s="1">
        <v>0</v>
      </c>
      <c r="D7" s="1">
        <v>3</v>
      </c>
      <c r="E7" s="1">
        <f t="shared" ref="E7:E261" si="1">E2</f>
        <v>0</v>
      </c>
      <c r="I7" s="1">
        <v>6.5000000000000002E-2</v>
      </c>
      <c r="K7" s="1">
        <v>13</v>
      </c>
      <c r="W7" s="1">
        <v>3</v>
      </c>
      <c r="AU7" s="1">
        <v>30</v>
      </c>
      <c r="AV7" s="1" t="s">
        <v>483</v>
      </c>
      <c r="AW7" s="1" t="s">
        <v>484</v>
      </c>
      <c r="AX7" s="1" t="s">
        <v>485</v>
      </c>
      <c r="AY7" s="1" t="s">
        <v>151</v>
      </c>
      <c r="AZ7" s="1" t="s">
        <v>254</v>
      </c>
      <c r="BA7" s="1" t="s">
        <v>486</v>
      </c>
      <c r="BB7" s="1" t="s">
        <v>152</v>
      </c>
      <c r="BC7" s="1" t="s">
        <v>487</v>
      </c>
      <c r="BD7" s="5" t="s">
        <v>488</v>
      </c>
    </row>
    <row r="8" spans="1:56">
      <c r="A8" s="1">
        <f t="shared" si="0"/>
        <v>30002</v>
      </c>
      <c r="B8" s="1">
        <v>2</v>
      </c>
      <c r="C8" s="1">
        <v>0</v>
      </c>
      <c r="D8" s="1">
        <v>3</v>
      </c>
      <c r="E8" s="1">
        <f t="shared" si="1"/>
        <v>1</v>
      </c>
      <c r="I8" s="1">
        <v>7.0000000000000007E-2</v>
      </c>
      <c r="K8" s="1">
        <v>13</v>
      </c>
      <c r="W8" s="1">
        <v>3</v>
      </c>
      <c r="AU8" s="1">
        <v>35</v>
      </c>
      <c r="AV8" s="1" t="s">
        <v>483</v>
      </c>
      <c r="AW8" s="1" t="s">
        <v>489</v>
      </c>
      <c r="AX8" s="1" t="s">
        <v>485</v>
      </c>
      <c r="AY8" s="1" t="s">
        <v>151</v>
      </c>
      <c r="AZ8" s="1" t="s">
        <v>254</v>
      </c>
      <c r="BA8" s="1" t="s">
        <v>486</v>
      </c>
      <c r="BB8" s="1" t="s">
        <v>478</v>
      </c>
      <c r="BC8" s="1" t="s">
        <v>487</v>
      </c>
      <c r="BD8" s="5" t="s">
        <v>488</v>
      </c>
    </row>
    <row r="9" spans="1:56">
      <c r="A9" s="1">
        <f t="shared" si="0"/>
        <v>30002</v>
      </c>
      <c r="B9" s="1">
        <v>2</v>
      </c>
      <c r="C9" s="1">
        <v>0</v>
      </c>
      <c r="D9" s="1">
        <v>3</v>
      </c>
      <c r="E9" s="1">
        <f t="shared" si="1"/>
        <v>2</v>
      </c>
      <c r="I9" s="1">
        <v>7.4999999999999997E-2</v>
      </c>
      <c r="K9" s="1">
        <v>13</v>
      </c>
      <c r="W9" s="1">
        <v>3</v>
      </c>
      <c r="AU9" s="1">
        <v>35</v>
      </c>
      <c r="AV9" s="1" t="s">
        <v>483</v>
      </c>
      <c r="AW9" s="1" t="s">
        <v>490</v>
      </c>
      <c r="AX9" s="1" t="s">
        <v>491</v>
      </c>
      <c r="AY9" s="1" t="s">
        <v>151</v>
      </c>
      <c r="AZ9" s="1" t="s">
        <v>254</v>
      </c>
      <c r="BA9" s="1" t="s">
        <v>486</v>
      </c>
      <c r="BB9" s="1" t="s">
        <v>478</v>
      </c>
      <c r="BC9" s="1" t="s">
        <v>487</v>
      </c>
      <c r="BD9" s="5" t="s">
        <v>488</v>
      </c>
    </row>
    <row r="10" spans="1:56">
      <c r="A10" s="1">
        <f t="shared" si="0"/>
        <v>30002</v>
      </c>
      <c r="B10" s="1">
        <v>2</v>
      </c>
      <c r="C10" s="1">
        <v>0</v>
      </c>
      <c r="D10" s="1">
        <v>3</v>
      </c>
      <c r="E10" s="1">
        <f t="shared" si="1"/>
        <v>3</v>
      </c>
      <c r="I10" s="1">
        <v>0.08</v>
      </c>
      <c r="K10" s="1">
        <v>17</v>
      </c>
      <c r="W10" s="1">
        <v>3</v>
      </c>
      <c r="AU10" s="1">
        <v>35</v>
      </c>
      <c r="AV10" s="1" t="s">
        <v>483</v>
      </c>
      <c r="AW10" s="1" t="s">
        <v>492</v>
      </c>
      <c r="AX10" s="1" t="s">
        <v>491</v>
      </c>
      <c r="AY10" s="1" t="s">
        <v>493</v>
      </c>
      <c r="AZ10" s="1" t="s">
        <v>254</v>
      </c>
      <c r="BA10" s="1" t="s">
        <v>486</v>
      </c>
      <c r="BB10" s="1" t="s">
        <v>478</v>
      </c>
      <c r="BC10" s="1" t="s">
        <v>487</v>
      </c>
      <c r="BD10" s="5" t="s">
        <v>488</v>
      </c>
    </row>
    <row r="11" spans="1:56">
      <c r="A11" s="1">
        <f t="shared" si="0"/>
        <v>30002</v>
      </c>
      <c r="B11" s="1">
        <v>2</v>
      </c>
      <c r="C11" s="1">
        <v>0</v>
      </c>
      <c r="D11" s="1">
        <v>3</v>
      </c>
      <c r="E11" s="1">
        <f t="shared" si="1"/>
        <v>4</v>
      </c>
      <c r="I11" s="1">
        <v>8.5000000000000006E-2</v>
      </c>
      <c r="K11" s="1">
        <v>17</v>
      </c>
      <c r="W11" s="1">
        <v>4</v>
      </c>
      <c r="AU11" s="1">
        <v>40</v>
      </c>
      <c r="AV11" s="1" t="s">
        <v>483</v>
      </c>
      <c r="AW11" s="1" t="s">
        <v>494</v>
      </c>
      <c r="AX11" s="1" t="s">
        <v>491</v>
      </c>
      <c r="AY11" s="1" t="s">
        <v>493</v>
      </c>
      <c r="AZ11" s="1" t="s">
        <v>495</v>
      </c>
      <c r="BA11" s="1" t="s">
        <v>486</v>
      </c>
      <c r="BB11" s="1" t="s">
        <v>482</v>
      </c>
      <c r="BC11" s="1" t="s">
        <v>487</v>
      </c>
      <c r="BD11" s="5" t="s">
        <v>488</v>
      </c>
    </row>
    <row r="12" spans="1:56">
      <c r="A12" s="1">
        <f t="shared" si="0"/>
        <v>30003</v>
      </c>
      <c r="B12" s="1">
        <v>1</v>
      </c>
      <c r="C12" s="1">
        <v>0</v>
      </c>
      <c r="D12" s="1">
        <v>3</v>
      </c>
      <c r="E12" s="1">
        <f t="shared" si="1"/>
        <v>0</v>
      </c>
      <c r="I12" s="1">
        <v>6.5000000000000002E-2</v>
      </c>
      <c r="O12" s="1">
        <v>12</v>
      </c>
      <c r="P12" s="1"/>
      <c r="AB12" s="1">
        <v>2</v>
      </c>
      <c r="AU12" s="1">
        <v>30</v>
      </c>
      <c r="AV12" s="1" t="s">
        <v>496</v>
      </c>
      <c r="AW12" s="1" t="s">
        <v>497</v>
      </c>
      <c r="AX12" s="1" t="s">
        <v>232</v>
      </c>
      <c r="AY12" s="1" t="s">
        <v>498</v>
      </c>
      <c r="AZ12" s="1" t="s">
        <v>499</v>
      </c>
      <c r="BA12" s="1" t="s">
        <v>500</v>
      </c>
      <c r="BB12" s="1" t="s">
        <v>214</v>
      </c>
      <c r="BC12" s="1" t="s">
        <v>476</v>
      </c>
      <c r="BD12" s="5" t="s">
        <v>501</v>
      </c>
    </row>
    <row r="13" spans="1:56">
      <c r="A13" s="1">
        <f t="shared" si="0"/>
        <v>30003</v>
      </c>
      <c r="B13" s="1">
        <v>1</v>
      </c>
      <c r="C13" s="1">
        <v>0</v>
      </c>
      <c r="D13" s="1">
        <v>3</v>
      </c>
      <c r="E13" s="1">
        <f t="shared" si="1"/>
        <v>1</v>
      </c>
      <c r="I13" s="1">
        <v>7.0000000000000007E-2</v>
      </c>
      <c r="O13" s="1">
        <v>12</v>
      </c>
      <c r="P13" s="1"/>
      <c r="AB13" s="1">
        <v>2</v>
      </c>
      <c r="AU13" s="1">
        <v>35</v>
      </c>
      <c r="AV13" s="1" t="s">
        <v>496</v>
      </c>
      <c r="AW13" s="1" t="s">
        <v>502</v>
      </c>
      <c r="AX13" s="1" t="s">
        <v>232</v>
      </c>
      <c r="AY13" s="1" t="s">
        <v>498</v>
      </c>
      <c r="AZ13" s="1" t="s">
        <v>499</v>
      </c>
      <c r="BA13" s="1" t="s">
        <v>500</v>
      </c>
      <c r="BB13" s="1" t="s">
        <v>503</v>
      </c>
      <c r="BC13" s="1" t="s">
        <v>476</v>
      </c>
      <c r="BD13" s="5" t="s">
        <v>501</v>
      </c>
    </row>
    <row r="14" spans="1:56">
      <c r="A14" s="1">
        <f t="shared" si="0"/>
        <v>30003</v>
      </c>
      <c r="B14" s="1">
        <v>1</v>
      </c>
      <c r="C14" s="1">
        <v>0</v>
      </c>
      <c r="D14" s="1">
        <v>3</v>
      </c>
      <c r="E14" s="1">
        <f t="shared" si="1"/>
        <v>2</v>
      </c>
      <c r="I14" s="1">
        <v>7.4999999999999997E-2</v>
      </c>
      <c r="O14" s="1">
        <v>12</v>
      </c>
      <c r="P14" s="1"/>
      <c r="AB14" s="1">
        <v>2</v>
      </c>
      <c r="AU14" s="1">
        <v>35</v>
      </c>
      <c r="AV14" s="1" t="s">
        <v>496</v>
      </c>
      <c r="AW14" s="1" t="s">
        <v>504</v>
      </c>
      <c r="AX14" s="1" t="s">
        <v>505</v>
      </c>
      <c r="AY14" s="1" t="s">
        <v>498</v>
      </c>
      <c r="AZ14" s="1" t="s">
        <v>499</v>
      </c>
      <c r="BA14" s="1" t="s">
        <v>500</v>
      </c>
      <c r="BB14" s="1" t="s">
        <v>503</v>
      </c>
      <c r="BC14" s="1" t="s">
        <v>476</v>
      </c>
      <c r="BD14" s="5" t="s">
        <v>501</v>
      </c>
    </row>
    <row r="15" spans="1:56">
      <c r="A15" s="1">
        <f t="shared" si="0"/>
        <v>30003</v>
      </c>
      <c r="B15" s="1">
        <v>1</v>
      </c>
      <c r="C15" s="1">
        <v>0</v>
      </c>
      <c r="D15" s="1">
        <v>3</v>
      </c>
      <c r="E15" s="1">
        <f t="shared" si="1"/>
        <v>3</v>
      </c>
      <c r="I15" s="1">
        <v>0.08</v>
      </c>
      <c r="O15" s="1">
        <v>17</v>
      </c>
      <c r="P15" s="1"/>
      <c r="AB15" s="1">
        <v>2</v>
      </c>
      <c r="AU15" s="1">
        <v>35</v>
      </c>
      <c r="AV15" s="1" t="s">
        <v>496</v>
      </c>
      <c r="AW15" s="1" t="s">
        <v>506</v>
      </c>
      <c r="AX15" s="1" t="s">
        <v>505</v>
      </c>
      <c r="AY15" s="1" t="s">
        <v>507</v>
      </c>
      <c r="AZ15" s="1" t="s">
        <v>499</v>
      </c>
      <c r="BA15" s="1" t="s">
        <v>500</v>
      </c>
      <c r="BB15" s="1" t="s">
        <v>503</v>
      </c>
      <c r="BC15" s="1" t="s">
        <v>476</v>
      </c>
      <c r="BD15" s="5" t="s">
        <v>501</v>
      </c>
    </row>
    <row r="16" spans="1:56">
      <c r="A16" s="1">
        <f t="shared" si="0"/>
        <v>30003</v>
      </c>
      <c r="B16" s="1">
        <v>1</v>
      </c>
      <c r="C16" s="1">
        <v>0</v>
      </c>
      <c r="D16" s="1">
        <v>3</v>
      </c>
      <c r="E16" s="1">
        <f t="shared" si="1"/>
        <v>4</v>
      </c>
      <c r="I16" s="1">
        <v>8.5000000000000006E-2</v>
      </c>
      <c r="O16" s="1">
        <v>17</v>
      </c>
      <c r="P16" s="1"/>
      <c r="AB16" s="1">
        <v>3</v>
      </c>
      <c r="AU16" s="1">
        <v>40</v>
      </c>
      <c r="AV16" s="1" t="s">
        <v>496</v>
      </c>
      <c r="AW16" s="1" t="s">
        <v>508</v>
      </c>
      <c r="AX16" s="1" t="s">
        <v>505</v>
      </c>
      <c r="AY16" s="1" t="s">
        <v>507</v>
      </c>
      <c r="AZ16" s="1" t="s">
        <v>509</v>
      </c>
      <c r="BA16" s="1" t="s">
        <v>500</v>
      </c>
      <c r="BB16" s="1" t="s">
        <v>510</v>
      </c>
      <c r="BC16" s="1" t="s">
        <v>476</v>
      </c>
      <c r="BD16" s="5" t="s">
        <v>501</v>
      </c>
    </row>
    <row r="17" spans="1:56">
      <c r="A17" s="1">
        <f t="shared" si="0"/>
        <v>30004</v>
      </c>
      <c r="B17" s="1">
        <v>0</v>
      </c>
      <c r="C17" s="1">
        <v>0</v>
      </c>
      <c r="D17" s="1">
        <v>3</v>
      </c>
      <c r="E17" s="1">
        <f t="shared" si="1"/>
        <v>0</v>
      </c>
      <c r="H17" s="1">
        <v>30</v>
      </c>
      <c r="I17" s="1">
        <v>6.5000000000000002E-2</v>
      </c>
      <c r="J17" s="1">
        <v>4</v>
      </c>
      <c r="W17" s="1">
        <v>3</v>
      </c>
      <c r="AU17" s="1">
        <v>30</v>
      </c>
      <c r="AV17" s="1" t="s">
        <v>511</v>
      </c>
      <c r="AW17" s="1" t="s">
        <v>512</v>
      </c>
      <c r="AX17" s="1" t="s">
        <v>182</v>
      </c>
      <c r="AY17" s="1" t="s">
        <v>176</v>
      </c>
      <c r="AZ17" s="1" t="s">
        <v>247</v>
      </c>
      <c r="BA17" s="1" t="s">
        <v>513</v>
      </c>
      <c r="BB17" s="1" t="s">
        <v>167</v>
      </c>
      <c r="BC17" s="1" t="s">
        <v>487</v>
      </c>
      <c r="BD17" s="5" t="s">
        <v>514</v>
      </c>
    </row>
    <row r="18" spans="1:56">
      <c r="A18" s="1">
        <f t="shared" si="0"/>
        <v>30004</v>
      </c>
      <c r="B18" s="1">
        <v>0</v>
      </c>
      <c r="C18" s="1">
        <v>0</v>
      </c>
      <c r="D18" s="1">
        <v>3</v>
      </c>
      <c r="E18" s="1">
        <f t="shared" si="1"/>
        <v>1</v>
      </c>
      <c r="H18" s="1">
        <v>30</v>
      </c>
      <c r="I18" s="1">
        <v>7.0000000000000007E-2</v>
      </c>
      <c r="J18" s="1">
        <v>4</v>
      </c>
      <c r="W18" s="1">
        <v>3</v>
      </c>
      <c r="AU18" s="1">
        <v>35</v>
      </c>
      <c r="AV18" s="1" t="s">
        <v>511</v>
      </c>
      <c r="AW18" s="1" t="s">
        <v>515</v>
      </c>
      <c r="AX18" s="1" t="s">
        <v>182</v>
      </c>
      <c r="AY18" s="1" t="s">
        <v>176</v>
      </c>
      <c r="AZ18" s="1" t="s">
        <v>247</v>
      </c>
      <c r="BA18" s="1" t="s">
        <v>513</v>
      </c>
      <c r="BB18" s="1" t="s">
        <v>516</v>
      </c>
      <c r="BC18" s="1" t="s">
        <v>487</v>
      </c>
      <c r="BD18" s="5" t="s">
        <v>514</v>
      </c>
    </row>
    <row r="19" spans="1:56">
      <c r="A19" s="1">
        <f t="shared" si="0"/>
        <v>30004</v>
      </c>
      <c r="B19" s="1">
        <v>0</v>
      </c>
      <c r="C19" s="1">
        <v>0</v>
      </c>
      <c r="D19" s="1">
        <v>3</v>
      </c>
      <c r="E19" s="1">
        <f t="shared" si="1"/>
        <v>2</v>
      </c>
      <c r="H19" s="1">
        <v>40</v>
      </c>
      <c r="I19" s="1">
        <v>7.4999999999999997E-2</v>
      </c>
      <c r="J19" s="1">
        <v>4</v>
      </c>
      <c r="W19" s="1">
        <v>3</v>
      </c>
      <c r="AU19" s="1">
        <v>35</v>
      </c>
      <c r="AV19" s="1" t="s">
        <v>511</v>
      </c>
      <c r="AW19" s="1" t="s">
        <v>517</v>
      </c>
      <c r="AX19" s="1" t="s">
        <v>479</v>
      </c>
      <c r="AY19" s="1" t="s">
        <v>176</v>
      </c>
      <c r="AZ19" s="1" t="s">
        <v>247</v>
      </c>
      <c r="BA19" s="1" t="s">
        <v>513</v>
      </c>
      <c r="BB19" s="1" t="s">
        <v>516</v>
      </c>
      <c r="BC19" s="1" t="s">
        <v>487</v>
      </c>
      <c r="BD19" s="5" t="s">
        <v>514</v>
      </c>
    </row>
    <row r="20" spans="1:56">
      <c r="A20" s="1">
        <f t="shared" si="0"/>
        <v>30004</v>
      </c>
      <c r="B20" s="1">
        <v>0</v>
      </c>
      <c r="C20" s="1">
        <v>0</v>
      </c>
      <c r="D20" s="1">
        <v>3</v>
      </c>
      <c r="E20" s="1">
        <f t="shared" si="1"/>
        <v>3</v>
      </c>
      <c r="H20" s="1">
        <v>40</v>
      </c>
      <c r="I20" s="1">
        <v>0.08</v>
      </c>
      <c r="J20" s="1">
        <v>6</v>
      </c>
      <c r="W20" s="1">
        <v>3</v>
      </c>
      <c r="AU20" s="1">
        <v>35</v>
      </c>
      <c r="AV20" s="1" t="s">
        <v>511</v>
      </c>
      <c r="AW20" s="1" t="s">
        <v>518</v>
      </c>
      <c r="AX20" s="1" t="s">
        <v>479</v>
      </c>
      <c r="AY20" s="1" t="s">
        <v>519</v>
      </c>
      <c r="AZ20" s="1" t="s">
        <v>247</v>
      </c>
      <c r="BA20" s="1" t="s">
        <v>513</v>
      </c>
      <c r="BB20" s="1" t="s">
        <v>516</v>
      </c>
      <c r="BC20" s="1" t="s">
        <v>487</v>
      </c>
      <c r="BD20" s="5" t="s">
        <v>514</v>
      </c>
    </row>
    <row r="21" spans="1:56" ht="15.75" customHeight="1">
      <c r="A21" s="1">
        <f t="shared" si="0"/>
        <v>30004</v>
      </c>
      <c r="B21" s="1">
        <v>0</v>
      </c>
      <c r="C21" s="1">
        <v>0</v>
      </c>
      <c r="D21" s="1">
        <v>3</v>
      </c>
      <c r="E21" s="1">
        <f t="shared" si="1"/>
        <v>4</v>
      </c>
      <c r="H21" s="1">
        <v>40</v>
      </c>
      <c r="I21" s="1">
        <v>8.5000000000000006E-2</v>
      </c>
      <c r="J21" s="1">
        <v>6</v>
      </c>
      <c r="W21" s="1">
        <v>4</v>
      </c>
      <c r="AU21" s="1">
        <v>40</v>
      </c>
      <c r="AV21" s="1" t="s">
        <v>511</v>
      </c>
      <c r="AW21" s="1" t="s">
        <v>520</v>
      </c>
      <c r="AX21" s="1" t="s">
        <v>479</v>
      </c>
      <c r="AY21" s="1" t="s">
        <v>519</v>
      </c>
      <c r="AZ21" s="1" t="s">
        <v>521</v>
      </c>
      <c r="BA21" s="1" t="s">
        <v>513</v>
      </c>
      <c r="BB21" s="1" t="s">
        <v>522</v>
      </c>
      <c r="BC21" s="1" t="s">
        <v>487</v>
      </c>
      <c r="BD21" s="5" t="s">
        <v>514</v>
      </c>
    </row>
    <row r="22" spans="1:56" ht="15.75" customHeight="1">
      <c r="A22" s="1">
        <f t="shared" si="0"/>
        <v>30005</v>
      </c>
      <c r="B22" s="1">
        <v>2</v>
      </c>
      <c r="C22" s="1">
        <v>0</v>
      </c>
      <c r="D22" s="1">
        <v>3</v>
      </c>
      <c r="E22" s="1">
        <f t="shared" si="1"/>
        <v>0</v>
      </c>
      <c r="H22" s="1">
        <v>30</v>
      </c>
      <c r="I22" s="1">
        <v>6.5000000000000002E-2</v>
      </c>
      <c r="J22" s="1">
        <v>4</v>
      </c>
      <c r="AC22" s="1">
        <v>2</v>
      </c>
      <c r="AU22" s="1">
        <v>30</v>
      </c>
      <c r="AV22" s="1" t="s">
        <v>523</v>
      </c>
      <c r="AW22" s="1" t="s">
        <v>484</v>
      </c>
      <c r="AX22" s="1" t="s">
        <v>182</v>
      </c>
      <c r="AY22" s="1" t="s">
        <v>193</v>
      </c>
      <c r="AZ22" s="1" t="s">
        <v>524</v>
      </c>
      <c r="BA22" s="1" t="s">
        <v>525</v>
      </c>
      <c r="BB22" s="1" t="s">
        <v>152</v>
      </c>
      <c r="BC22" s="1" t="s">
        <v>487</v>
      </c>
      <c r="BD22" s="5" t="s">
        <v>526</v>
      </c>
    </row>
    <row r="23" spans="1:56" ht="15.75" customHeight="1">
      <c r="A23" s="1">
        <f t="shared" si="0"/>
        <v>30005</v>
      </c>
      <c r="B23" s="1">
        <v>2</v>
      </c>
      <c r="C23" s="1">
        <v>0</v>
      </c>
      <c r="D23" s="1">
        <v>3</v>
      </c>
      <c r="E23" s="1">
        <f t="shared" si="1"/>
        <v>1</v>
      </c>
      <c r="H23" s="1">
        <v>30</v>
      </c>
      <c r="I23" s="1">
        <v>7.0000000000000007E-2</v>
      </c>
      <c r="J23" s="1">
        <v>4</v>
      </c>
      <c r="AC23" s="1">
        <v>2</v>
      </c>
      <c r="AU23" s="1">
        <v>35</v>
      </c>
      <c r="AV23" s="1" t="s">
        <v>523</v>
      </c>
      <c r="AW23" s="1" t="s">
        <v>489</v>
      </c>
      <c r="AX23" s="1" t="s">
        <v>182</v>
      </c>
      <c r="AY23" s="1" t="s">
        <v>193</v>
      </c>
      <c r="AZ23" s="1" t="s">
        <v>524</v>
      </c>
      <c r="BA23" s="1" t="s">
        <v>525</v>
      </c>
      <c r="BB23" s="1" t="s">
        <v>478</v>
      </c>
      <c r="BC23" s="1" t="s">
        <v>487</v>
      </c>
      <c r="BD23" s="5" t="s">
        <v>526</v>
      </c>
    </row>
    <row r="24" spans="1:56" ht="15.75" customHeight="1">
      <c r="A24" s="1">
        <f t="shared" si="0"/>
        <v>30005</v>
      </c>
      <c r="B24" s="1">
        <v>2</v>
      </c>
      <c r="C24" s="1">
        <v>0</v>
      </c>
      <c r="D24" s="1">
        <v>3</v>
      </c>
      <c r="E24" s="1">
        <f t="shared" si="1"/>
        <v>2</v>
      </c>
      <c r="H24" s="1">
        <v>40</v>
      </c>
      <c r="I24" s="1">
        <v>7.4999999999999997E-2</v>
      </c>
      <c r="J24" s="1">
        <v>4</v>
      </c>
      <c r="AC24" s="1">
        <v>2</v>
      </c>
      <c r="AU24" s="1">
        <v>35</v>
      </c>
      <c r="AV24" s="1" t="s">
        <v>523</v>
      </c>
      <c r="AW24" s="1" t="s">
        <v>490</v>
      </c>
      <c r="AX24" s="1" t="s">
        <v>479</v>
      </c>
      <c r="AY24" s="1" t="s">
        <v>193</v>
      </c>
      <c r="AZ24" s="1" t="s">
        <v>524</v>
      </c>
      <c r="BA24" s="1" t="s">
        <v>525</v>
      </c>
      <c r="BB24" s="1" t="s">
        <v>478</v>
      </c>
      <c r="BC24" s="1" t="s">
        <v>487</v>
      </c>
      <c r="BD24" s="5" t="s">
        <v>526</v>
      </c>
    </row>
    <row r="25" spans="1:56" ht="15.75" customHeight="1">
      <c r="A25" s="1">
        <f t="shared" si="0"/>
        <v>30005</v>
      </c>
      <c r="B25" s="1">
        <v>2</v>
      </c>
      <c r="C25" s="1">
        <v>0</v>
      </c>
      <c r="D25" s="1">
        <v>3</v>
      </c>
      <c r="E25" s="1">
        <f t="shared" si="1"/>
        <v>3</v>
      </c>
      <c r="H25" s="1">
        <v>40</v>
      </c>
      <c r="I25" s="1">
        <v>0.08</v>
      </c>
      <c r="J25" s="1">
        <v>6</v>
      </c>
      <c r="AC25" s="1">
        <v>2</v>
      </c>
      <c r="AU25" s="1">
        <v>35</v>
      </c>
      <c r="AV25" s="1" t="s">
        <v>523</v>
      </c>
      <c r="AW25" s="1" t="s">
        <v>492</v>
      </c>
      <c r="AX25" s="1" t="s">
        <v>479</v>
      </c>
      <c r="AY25" s="1" t="s">
        <v>480</v>
      </c>
      <c r="AZ25" s="1" t="s">
        <v>524</v>
      </c>
      <c r="BA25" s="1" t="s">
        <v>525</v>
      </c>
      <c r="BB25" s="1" t="s">
        <v>478</v>
      </c>
      <c r="BC25" s="1" t="s">
        <v>487</v>
      </c>
      <c r="BD25" s="5" t="s">
        <v>526</v>
      </c>
    </row>
    <row r="26" spans="1:56" ht="15.75" customHeight="1">
      <c r="A26" s="1">
        <f t="shared" si="0"/>
        <v>30005</v>
      </c>
      <c r="B26" s="1">
        <v>2</v>
      </c>
      <c r="C26" s="1">
        <v>0</v>
      </c>
      <c r="D26" s="1">
        <v>3</v>
      </c>
      <c r="E26" s="1">
        <f t="shared" si="1"/>
        <v>4</v>
      </c>
      <c r="H26" s="1">
        <v>40</v>
      </c>
      <c r="I26" s="1">
        <v>8.5000000000000006E-2</v>
      </c>
      <c r="J26" s="1">
        <v>6</v>
      </c>
      <c r="AC26" s="1">
        <v>3</v>
      </c>
      <c r="AU26" s="1">
        <v>40</v>
      </c>
      <c r="AV26" s="1" t="s">
        <v>523</v>
      </c>
      <c r="AW26" s="1" t="s">
        <v>494</v>
      </c>
      <c r="AX26" s="1" t="s">
        <v>479</v>
      </c>
      <c r="AY26" s="1" t="s">
        <v>480</v>
      </c>
      <c r="AZ26" s="1" t="s">
        <v>527</v>
      </c>
      <c r="BA26" s="1" t="s">
        <v>525</v>
      </c>
      <c r="BB26" s="1" t="s">
        <v>482</v>
      </c>
      <c r="BC26" s="1" t="s">
        <v>487</v>
      </c>
      <c r="BD26" s="5" t="s">
        <v>526</v>
      </c>
    </row>
    <row r="27" spans="1:56" ht="15.75" customHeight="1">
      <c r="A27" s="1">
        <f t="shared" si="0"/>
        <v>30006</v>
      </c>
      <c r="B27" s="1">
        <v>2</v>
      </c>
      <c r="C27" s="1">
        <v>0</v>
      </c>
      <c r="D27" s="1">
        <v>3</v>
      </c>
      <c r="E27" s="1">
        <f t="shared" si="1"/>
        <v>0</v>
      </c>
      <c r="F27" s="1">
        <v>21</v>
      </c>
      <c r="G27" s="1">
        <v>52</v>
      </c>
      <c r="K27" s="1">
        <v>13</v>
      </c>
      <c r="AB27" s="1">
        <v>2</v>
      </c>
      <c r="AU27" s="1">
        <v>30</v>
      </c>
      <c r="AV27" s="1" t="s">
        <v>528</v>
      </c>
      <c r="AW27" s="1" t="s">
        <v>944</v>
      </c>
      <c r="AX27" s="1" t="s">
        <v>146</v>
      </c>
      <c r="AY27" s="1" t="s">
        <v>151</v>
      </c>
      <c r="AZ27" s="1" t="s">
        <v>529</v>
      </c>
      <c r="BA27" s="1" t="s">
        <v>530</v>
      </c>
      <c r="BB27" s="1" t="s">
        <v>152</v>
      </c>
      <c r="BC27" s="1" t="s">
        <v>487</v>
      </c>
      <c r="BD27" s="1" t="s">
        <v>531</v>
      </c>
    </row>
    <row r="28" spans="1:56" ht="15.75" customHeight="1">
      <c r="A28" s="1">
        <f t="shared" si="0"/>
        <v>30006</v>
      </c>
      <c r="B28" s="1">
        <v>2</v>
      </c>
      <c r="C28" s="1">
        <v>0</v>
      </c>
      <c r="D28" s="1">
        <v>3</v>
      </c>
      <c r="E28" s="1">
        <f t="shared" si="1"/>
        <v>1</v>
      </c>
      <c r="F28" s="1">
        <v>21</v>
      </c>
      <c r="G28" s="1">
        <v>55</v>
      </c>
      <c r="K28" s="1">
        <v>13</v>
      </c>
      <c r="AB28" s="1">
        <v>2</v>
      </c>
      <c r="AU28" s="1">
        <v>35</v>
      </c>
      <c r="AV28" s="1" t="s">
        <v>528</v>
      </c>
      <c r="AW28" s="1" t="s">
        <v>947</v>
      </c>
      <c r="AX28" s="1" t="s">
        <v>146</v>
      </c>
      <c r="AY28" s="1" t="s">
        <v>151</v>
      </c>
      <c r="AZ28" s="1" t="s">
        <v>529</v>
      </c>
      <c r="BA28" s="1" t="s">
        <v>530</v>
      </c>
      <c r="BB28" s="1" t="s">
        <v>478</v>
      </c>
      <c r="BC28" s="1" t="s">
        <v>487</v>
      </c>
      <c r="BD28" s="1" t="s">
        <v>531</v>
      </c>
    </row>
    <row r="29" spans="1:56" ht="15.75" customHeight="1">
      <c r="A29" s="1">
        <f t="shared" si="0"/>
        <v>30006</v>
      </c>
      <c r="B29" s="1">
        <v>2</v>
      </c>
      <c r="C29" s="1">
        <v>0</v>
      </c>
      <c r="D29" s="1">
        <v>3</v>
      </c>
      <c r="E29" s="1">
        <f t="shared" si="1"/>
        <v>2</v>
      </c>
      <c r="F29" s="1">
        <v>28</v>
      </c>
      <c r="G29" s="1">
        <v>59</v>
      </c>
      <c r="K29" s="1">
        <v>13</v>
      </c>
      <c r="AB29" s="1">
        <v>2</v>
      </c>
      <c r="AU29" s="1">
        <v>35</v>
      </c>
      <c r="AV29" s="1" t="s">
        <v>528</v>
      </c>
      <c r="AW29" s="1" t="s">
        <v>950</v>
      </c>
      <c r="AX29" s="1" t="s">
        <v>532</v>
      </c>
      <c r="AY29" s="1" t="s">
        <v>151</v>
      </c>
      <c r="AZ29" s="1" t="s">
        <v>529</v>
      </c>
      <c r="BA29" s="1" t="s">
        <v>530</v>
      </c>
      <c r="BB29" s="1" t="s">
        <v>478</v>
      </c>
      <c r="BC29" s="1" t="s">
        <v>487</v>
      </c>
      <c r="BD29" s="1" t="s">
        <v>531</v>
      </c>
    </row>
    <row r="30" spans="1:56" ht="15.75" customHeight="1">
      <c r="A30" s="1">
        <f t="shared" si="0"/>
        <v>30006</v>
      </c>
      <c r="B30" s="1">
        <v>2</v>
      </c>
      <c r="C30" s="1">
        <v>0</v>
      </c>
      <c r="D30" s="1">
        <v>3</v>
      </c>
      <c r="E30" s="1">
        <f t="shared" si="1"/>
        <v>3</v>
      </c>
      <c r="F30" s="1">
        <v>28</v>
      </c>
      <c r="G30" s="1">
        <v>62</v>
      </c>
      <c r="K30" s="1">
        <v>17</v>
      </c>
      <c r="AB30" s="1">
        <v>2</v>
      </c>
      <c r="AU30" s="1">
        <v>35</v>
      </c>
      <c r="AV30" s="1" t="s">
        <v>528</v>
      </c>
      <c r="AW30" s="1" t="s">
        <v>953</v>
      </c>
      <c r="AX30" s="1" t="s">
        <v>532</v>
      </c>
      <c r="AY30" s="1" t="s">
        <v>493</v>
      </c>
      <c r="AZ30" s="1" t="s">
        <v>529</v>
      </c>
      <c r="BA30" s="1" t="s">
        <v>530</v>
      </c>
      <c r="BB30" s="1" t="s">
        <v>478</v>
      </c>
      <c r="BC30" s="1" t="s">
        <v>487</v>
      </c>
      <c r="BD30" s="1" t="s">
        <v>531</v>
      </c>
    </row>
    <row r="31" spans="1:56" ht="15.75" customHeight="1">
      <c r="A31" s="1">
        <f t="shared" si="0"/>
        <v>30006</v>
      </c>
      <c r="B31" s="1">
        <v>2</v>
      </c>
      <c r="C31" s="1">
        <v>0</v>
      </c>
      <c r="D31" s="1">
        <v>3</v>
      </c>
      <c r="E31" s="1">
        <f t="shared" si="1"/>
        <v>4</v>
      </c>
      <c r="F31" s="1">
        <v>28</v>
      </c>
      <c r="G31" s="1">
        <v>65</v>
      </c>
      <c r="K31" s="1">
        <v>17</v>
      </c>
      <c r="AB31" s="1">
        <v>3</v>
      </c>
      <c r="AU31" s="1">
        <v>40</v>
      </c>
      <c r="AV31" s="1" t="s">
        <v>528</v>
      </c>
      <c r="AW31" s="1" t="s">
        <v>956</v>
      </c>
      <c r="AX31" s="1" t="s">
        <v>532</v>
      </c>
      <c r="AY31" s="1" t="s">
        <v>493</v>
      </c>
      <c r="AZ31" s="1" t="s">
        <v>533</v>
      </c>
      <c r="BA31" s="1" t="s">
        <v>530</v>
      </c>
      <c r="BB31" s="1" t="s">
        <v>482</v>
      </c>
      <c r="BC31" s="1" t="s">
        <v>487</v>
      </c>
      <c r="BD31" s="1" t="s">
        <v>531</v>
      </c>
    </row>
    <row r="32" spans="1:56" ht="15.75" customHeight="1">
      <c r="A32" s="1">
        <f t="shared" si="0"/>
        <v>30007</v>
      </c>
      <c r="B32" s="1">
        <v>1</v>
      </c>
      <c r="C32" s="1">
        <v>0</v>
      </c>
      <c r="D32" s="1">
        <v>3</v>
      </c>
      <c r="E32" s="1">
        <f t="shared" si="1"/>
        <v>0</v>
      </c>
      <c r="F32" s="1">
        <v>21</v>
      </c>
      <c r="G32" s="1">
        <v>52</v>
      </c>
      <c r="K32" s="1">
        <v>13</v>
      </c>
      <c r="W32" s="1">
        <v>3</v>
      </c>
      <c r="AU32" s="1">
        <v>30</v>
      </c>
      <c r="AV32" s="1" t="s">
        <v>534</v>
      </c>
      <c r="AW32" s="1" t="s">
        <v>945</v>
      </c>
      <c r="AX32" s="1" t="s">
        <v>220</v>
      </c>
      <c r="AY32" s="1" t="s">
        <v>221</v>
      </c>
      <c r="AZ32" s="1" t="s">
        <v>296</v>
      </c>
      <c r="BA32" s="1" t="s">
        <v>535</v>
      </c>
      <c r="BB32" s="1" t="s">
        <v>214</v>
      </c>
      <c r="BC32" s="1" t="s">
        <v>487</v>
      </c>
      <c r="BD32" s="5" t="s">
        <v>536</v>
      </c>
    </row>
    <row r="33" spans="1:56" ht="15.75" customHeight="1">
      <c r="A33" s="1">
        <f t="shared" si="0"/>
        <v>30007</v>
      </c>
      <c r="B33" s="1">
        <v>1</v>
      </c>
      <c r="C33" s="1">
        <v>0</v>
      </c>
      <c r="D33" s="1">
        <v>3</v>
      </c>
      <c r="E33" s="1">
        <f t="shared" si="1"/>
        <v>1</v>
      </c>
      <c r="F33" s="1">
        <v>21</v>
      </c>
      <c r="G33" s="1">
        <v>55</v>
      </c>
      <c r="K33" s="1">
        <v>13</v>
      </c>
      <c r="W33" s="1">
        <v>3</v>
      </c>
      <c r="AU33" s="1">
        <v>35</v>
      </c>
      <c r="AV33" s="1" t="s">
        <v>534</v>
      </c>
      <c r="AW33" s="1" t="s">
        <v>948</v>
      </c>
      <c r="AX33" s="1" t="s">
        <v>220</v>
      </c>
      <c r="AY33" s="1" t="s">
        <v>221</v>
      </c>
      <c r="AZ33" s="1" t="s">
        <v>296</v>
      </c>
      <c r="BA33" s="1" t="s">
        <v>535</v>
      </c>
      <c r="BB33" s="1" t="s">
        <v>503</v>
      </c>
      <c r="BC33" s="1" t="s">
        <v>487</v>
      </c>
      <c r="BD33" s="5" t="s">
        <v>536</v>
      </c>
    </row>
    <row r="34" spans="1:56" ht="15.75" customHeight="1">
      <c r="A34" s="1">
        <f t="shared" si="0"/>
        <v>30007</v>
      </c>
      <c r="B34" s="1">
        <v>1</v>
      </c>
      <c r="C34" s="1">
        <v>0</v>
      </c>
      <c r="D34" s="1">
        <v>3</v>
      </c>
      <c r="E34" s="1">
        <f t="shared" si="1"/>
        <v>2</v>
      </c>
      <c r="F34" s="1">
        <v>28</v>
      </c>
      <c r="G34" s="1">
        <v>59</v>
      </c>
      <c r="K34" s="1">
        <v>13</v>
      </c>
      <c r="W34" s="1">
        <v>3</v>
      </c>
      <c r="AU34" s="1">
        <v>35</v>
      </c>
      <c r="AV34" s="1" t="s">
        <v>534</v>
      </c>
      <c r="AW34" s="1" t="s">
        <v>951</v>
      </c>
      <c r="AX34" s="1" t="s">
        <v>537</v>
      </c>
      <c r="AY34" s="1" t="s">
        <v>221</v>
      </c>
      <c r="AZ34" s="1" t="s">
        <v>296</v>
      </c>
      <c r="BA34" s="1" t="s">
        <v>535</v>
      </c>
      <c r="BB34" s="1" t="s">
        <v>503</v>
      </c>
      <c r="BC34" s="1" t="s">
        <v>487</v>
      </c>
      <c r="BD34" s="5" t="s">
        <v>536</v>
      </c>
    </row>
    <row r="35" spans="1:56" ht="15.75" customHeight="1">
      <c r="A35" s="1">
        <f t="shared" si="0"/>
        <v>30007</v>
      </c>
      <c r="B35" s="1">
        <v>1</v>
      </c>
      <c r="C35" s="1">
        <v>0</v>
      </c>
      <c r="D35" s="1">
        <v>3</v>
      </c>
      <c r="E35" s="1">
        <f t="shared" si="1"/>
        <v>3</v>
      </c>
      <c r="F35" s="1">
        <v>28</v>
      </c>
      <c r="G35" s="1">
        <v>62</v>
      </c>
      <c r="K35" s="1">
        <v>17</v>
      </c>
      <c r="W35" s="1">
        <v>3</v>
      </c>
      <c r="AU35" s="1">
        <v>35</v>
      </c>
      <c r="AV35" s="1" t="s">
        <v>534</v>
      </c>
      <c r="AW35" s="1" t="s">
        <v>954</v>
      </c>
      <c r="AX35" s="1" t="s">
        <v>537</v>
      </c>
      <c r="AY35" s="1" t="s">
        <v>538</v>
      </c>
      <c r="AZ35" s="1" t="s">
        <v>296</v>
      </c>
      <c r="BA35" s="1" t="s">
        <v>535</v>
      </c>
      <c r="BB35" s="1" t="s">
        <v>503</v>
      </c>
      <c r="BC35" s="1" t="s">
        <v>487</v>
      </c>
      <c r="BD35" s="5" t="s">
        <v>536</v>
      </c>
    </row>
    <row r="36" spans="1:56" ht="15.75" customHeight="1">
      <c r="A36" s="1">
        <f t="shared" si="0"/>
        <v>30007</v>
      </c>
      <c r="B36" s="1">
        <v>1</v>
      </c>
      <c r="C36" s="1">
        <v>0</v>
      </c>
      <c r="D36" s="1">
        <v>3</v>
      </c>
      <c r="E36" s="1">
        <f t="shared" si="1"/>
        <v>4</v>
      </c>
      <c r="F36" s="1">
        <v>28</v>
      </c>
      <c r="G36" s="1">
        <v>65</v>
      </c>
      <c r="K36" s="1">
        <v>17</v>
      </c>
      <c r="W36" s="1">
        <v>4</v>
      </c>
      <c r="AU36" s="1">
        <v>40</v>
      </c>
      <c r="AV36" s="1" t="s">
        <v>534</v>
      </c>
      <c r="AW36" s="1" t="s">
        <v>957</v>
      </c>
      <c r="AX36" s="1" t="s">
        <v>537</v>
      </c>
      <c r="AY36" s="1" t="s">
        <v>538</v>
      </c>
      <c r="AZ36" s="1" t="s">
        <v>539</v>
      </c>
      <c r="BA36" s="1" t="s">
        <v>535</v>
      </c>
      <c r="BB36" s="1" t="s">
        <v>510</v>
      </c>
      <c r="BC36" s="1" t="s">
        <v>487</v>
      </c>
      <c r="BD36" s="5" t="s">
        <v>536</v>
      </c>
    </row>
    <row r="37" spans="1:56" ht="15.75" customHeight="1">
      <c r="A37" s="1">
        <f t="shared" si="0"/>
        <v>30008</v>
      </c>
      <c r="B37" s="1">
        <v>0</v>
      </c>
      <c r="C37" s="1">
        <v>0</v>
      </c>
      <c r="D37" s="1">
        <v>3</v>
      </c>
      <c r="E37" s="1">
        <f t="shared" si="1"/>
        <v>0</v>
      </c>
      <c r="F37" s="1">
        <v>21</v>
      </c>
      <c r="G37" s="1">
        <v>52</v>
      </c>
      <c r="K37" s="1">
        <v>13</v>
      </c>
      <c r="AC37" s="1">
        <v>2</v>
      </c>
      <c r="AU37" s="1">
        <v>30</v>
      </c>
      <c r="AV37" s="1" t="s">
        <v>540</v>
      </c>
      <c r="AW37" s="1" t="s">
        <v>946</v>
      </c>
      <c r="AX37" s="1" t="s">
        <v>161</v>
      </c>
      <c r="AY37" s="1" t="s">
        <v>166</v>
      </c>
      <c r="AZ37" s="1" t="s">
        <v>541</v>
      </c>
      <c r="BA37" s="1" t="s">
        <v>542</v>
      </c>
      <c r="BB37" s="1" t="s">
        <v>167</v>
      </c>
      <c r="BC37" s="1" t="s">
        <v>487</v>
      </c>
      <c r="BD37" s="5" t="s">
        <v>543</v>
      </c>
    </row>
    <row r="38" spans="1:56" ht="15.75" customHeight="1">
      <c r="A38" s="1">
        <f t="shared" si="0"/>
        <v>30008</v>
      </c>
      <c r="B38" s="1">
        <v>0</v>
      </c>
      <c r="C38" s="1">
        <v>0</v>
      </c>
      <c r="D38" s="1">
        <v>3</v>
      </c>
      <c r="E38" s="1">
        <f t="shared" si="1"/>
        <v>1</v>
      </c>
      <c r="F38" s="1">
        <v>21</v>
      </c>
      <c r="G38" s="1">
        <v>55</v>
      </c>
      <c r="K38" s="1">
        <v>13</v>
      </c>
      <c r="AC38" s="1">
        <v>2</v>
      </c>
      <c r="AU38" s="1">
        <v>35</v>
      </c>
      <c r="AV38" s="1" t="s">
        <v>540</v>
      </c>
      <c r="AW38" s="1" t="s">
        <v>949</v>
      </c>
      <c r="AX38" s="1" t="s">
        <v>161</v>
      </c>
      <c r="AY38" s="1" t="s">
        <v>166</v>
      </c>
      <c r="AZ38" s="1" t="s">
        <v>541</v>
      </c>
      <c r="BA38" s="1" t="s">
        <v>542</v>
      </c>
      <c r="BB38" s="1" t="s">
        <v>516</v>
      </c>
      <c r="BC38" s="1" t="s">
        <v>487</v>
      </c>
      <c r="BD38" s="5" t="s">
        <v>543</v>
      </c>
    </row>
    <row r="39" spans="1:56" ht="15.75" customHeight="1">
      <c r="A39" s="1">
        <f t="shared" si="0"/>
        <v>30008</v>
      </c>
      <c r="B39" s="1">
        <v>0</v>
      </c>
      <c r="C39" s="1">
        <v>0</v>
      </c>
      <c r="D39" s="1">
        <v>3</v>
      </c>
      <c r="E39" s="1">
        <f t="shared" si="1"/>
        <v>2</v>
      </c>
      <c r="F39" s="1">
        <v>28</v>
      </c>
      <c r="G39" s="1">
        <v>59</v>
      </c>
      <c r="K39" s="1">
        <v>13</v>
      </c>
      <c r="AC39" s="1">
        <v>2</v>
      </c>
      <c r="AU39" s="1">
        <v>35</v>
      </c>
      <c r="AV39" s="1" t="s">
        <v>540</v>
      </c>
      <c r="AW39" s="1" t="s">
        <v>952</v>
      </c>
      <c r="AX39" s="1" t="s">
        <v>544</v>
      </c>
      <c r="AY39" s="1" t="s">
        <v>166</v>
      </c>
      <c r="AZ39" s="1" t="s">
        <v>541</v>
      </c>
      <c r="BA39" s="1" t="s">
        <v>542</v>
      </c>
      <c r="BB39" s="1" t="s">
        <v>516</v>
      </c>
      <c r="BC39" s="1" t="s">
        <v>487</v>
      </c>
      <c r="BD39" s="5" t="s">
        <v>543</v>
      </c>
    </row>
    <row r="40" spans="1:56" ht="15.75" customHeight="1">
      <c r="A40" s="1">
        <f t="shared" si="0"/>
        <v>30008</v>
      </c>
      <c r="B40" s="1">
        <v>0</v>
      </c>
      <c r="C40" s="1">
        <v>0</v>
      </c>
      <c r="D40" s="1">
        <v>3</v>
      </c>
      <c r="E40" s="1">
        <f t="shared" si="1"/>
        <v>3</v>
      </c>
      <c r="F40" s="1">
        <v>28</v>
      </c>
      <c r="G40" s="1">
        <v>62</v>
      </c>
      <c r="K40" s="1">
        <v>17</v>
      </c>
      <c r="AC40" s="1">
        <v>2</v>
      </c>
      <c r="AU40" s="1">
        <v>35</v>
      </c>
      <c r="AV40" s="1" t="s">
        <v>540</v>
      </c>
      <c r="AW40" s="1" t="s">
        <v>955</v>
      </c>
      <c r="AX40" s="1" t="s">
        <v>544</v>
      </c>
      <c r="AY40" s="1" t="s">
        <v>545</v>
      </c>
      <c r="AZ40" s="1" t="s">
        <v>541</v>
      </c>
      <c r="BA40" s="1" t="s">
        <v>542</v>
      </c>
      <c r="BB40" s="1" t="s">
        <v>516</v>
      </c>
      <c r="BC40" s="1" t="s">
        <v>487</v>
      </c>
      <c r="BD40" s="5" t="s">
        <v>543</v>
      </c>
    </row>
    <row r="41" spans="1:56" ht="15.75" customHeight="1">
      <c r="A41" s="1">
        <f t="shared" si="0"/>
        <v>30008</v>
      </c>
      <c r="B41" s="1">
        <v>0</v>
      </c>
      <c r="C41" s="1">
        <v>0</v>
      </c>
      <c r="D41" s="1">
        <v>3</v>
      </c>
      <c r="E41" s="1">
        <f t="shared" si="1"/>
        <v>4</v>
      </c>
      <c r="F41" s="1">
        <v>28</v>
      </c>
      <c r="G41" s="1">
        <v>65</v>
      </c>
      <c r="K41" s="1">
        <v>17</v>
      </c>
      <c r="AC41" s="1">
        <v>3</v>
      </c>
      <c r="AU41" s="1">
        <v>40</v>
      </c>
      <c r="AV41" s="1" t="s">
        <v>540</v>
      </c>
      <c r="AW41" s="1" t="s">
        <v>958</v>
      </c>
      <c r="AX41" s="1" t="s">
        <v>544</v>
      </c>
      <c r="AY41" s="1" t="s">
        <v>545</v>
      </c>
      <c r="AZ41" s="1" t="s">
        <v>546</v>
      </c>
      <c r="BA41" s="1" t="s">
        <v>542</v>
      </c>
      <c r="BB41" s="1" t="s">
        <v>522</v>
      </c>
      <c r="BC41" s="1" t="s">
        <v>487</v>
      </c>
      <c r="BD41" s="5" t="s">
        <v>543</v>
      </c>
    </row>
    <row r="42" spans="1:56" ht="15.75" customHeight="1">
      <c r="A42" s="1">
        <f t="shared" si="0"/>
        <v>30009</v>
      </c>
      <c r="B42" s="1">
        <v>2</v>
      </c>
      <c r="C42" s="1">
        <v>0</v>
      </c>
      <c r="D42" s="1">
        <v>3</v>
      </c>
      <c r="E42" s="1">
        <f t="shared" si="1"/>
        <v>0</v>
      </c>
      <c r="I42" s="1">
        <v>6.5000000000000002E-2</v>
      </c>
      <c r="U42" s="1">
        <v>5</v>
      </c>
      <c r="W42" s="1">
        <v>3</v>
      </c>
      <c r="AU42" s="1">
        <v>30</v>
      </c>
      <c r="AV42" s="1" t="s">
        <v>547</v>
      </c>
      <c r="AW42" s="1" t="s">
        <v>484</v>
      </c>
      <c r="AX42" s="1" t="s">
        <v>191</v>
      </c>
      <c r="AY42" s="1" t="s">
        <v>198</v>
      </c>
      <c r="AZ42" s="1" t="s">
        <v>254</v>
      </c>
      <c r="BA42" s="1" t="s">
        <v>548</v>
      </c>
      <c r="BB42" s="1" t="s">
        <v>152</v>
      </c>
      <c r="BC42" s="1" t="s">
        <v>476</v>
      </c>
      <c r="BD42" s="5" t="s">
        <v>549</v>
      </c>
    </row>
    <row r="43" spans="1:56" ht="15.75" customHeight="1">
      <c r="A43" s="1">
        <f t="shared" si="0"/>
        <v>30009</v>
      </c>
      <c r="B43" s="1">
        <v>2</v>
      </c>
      <c r="C43" s="1">
        <v>0</v>
      </c>
      <c r="D43" s="1">
        <v>3</v>
      </c>
      <c r="E43" s="1">
        <f t="shared" si="1"/>
        <v>1</v>
      </c>
      <c r="I43" s="1">
        <v>7.0000000000000007E-2</v>
      </c>
      <c r="U43" s="1">
        <v>5</v>
      </c>
      <c r="W43" s="1">
        <v>3</v>
      </c>
      <c r="AU43" s="1">
        <v>35</v>
      </c>
      <c r="AV43" s="1" t="s">
        <v>547</v>
      </c>
      <c r="AW43" s="1" t="s">
        <v>489</v>
      </c>
      <c r="AX43" s="1" t="s">
        <v>191</v>
      </c>
      <c r="AY43" s="1" t="s">
        <v>198</v>
      </c>
      <c r="AZ43" s="1" t="s">
        <v>254</v>
      </c>
      <c r="BA43" s="1" t="s">
        <v>548</v>
      </c>
      <c r="BB43" s="1" t="s">
        <v>478</v>
      </c>
      <c r="BC43" s="1" t="s">
        <v>476</v>
      </c>
      <c r="BD43" s="5" t="s">
        <v>549</v>
      </c>
    </row>
    <row r="44" spans="1:56" ht="15.75" customHeight="1">
      <c r="A44" s="1">
        <f t="shared" si="0"/>
        <v>30009</v>
      </c>
      <c r="B44" s="1">
        <v>2</v>
      </c>
      <c r="C44" s="1">
        <v>0</v>
      </c>
      <c r="D44" s="1">
        <v>3</v>
      </c>
      <c r="E44" s="1">
        <f t="shared" si="1"/>
        <v>2</v>
      </c>
      <c r="I44" s="1">
        <v>7.4999999999999997E-2</v>
      </c>
      <c r="U44" s="1">
        <v>5</v>
      </c>
      <c r="W44" s="1">
        <v>3</v>
      </c>
      <c r="AU44" s="1">
        <v>35</v>
      </c>
      <c r="AV44" s="1" t="s">
        <v>547</v>
      </c>
      <c r="AW44" s="1" t="s">
        <v>490</v>
      </c>
      <c r="AX44" s="1" t="s">
        <v>550</v>
      </c>
      <c r="AY44" s="1" t="s">
        <v>198</v>
      </c>
      <c r="AZ44" s="1" t="s">
        <v>254</v>
      </c>
      <c r="BA44" s="1" t="s">
        <v>548</v>
      </c>
      <c r="BB44" s="1" t="s">
        <v>478</v>
      </c>
      <c r="BC44" s="1" t="s">
        <v>476</v>
      </c>
      <c r="BD44" s="5" t="s">
        <v>549</v>
      </c>
    </row>
    <row r="45" spans="1:56" ht="15.75" customHeight="1">
      <c r="A45" s="1">
        <f t="shared" si="0"/>
        <v>30009</v>
      </c>
      <c r="B45" s="1">
        <v>2</v>
      </c>
      <c r="C45" s="1">
        <v>0</v>
      </c>
      <c r="D45" s="1">
        <v>3</v>
      </c>
      <c r="E45" s="1">
        <f t="shared" si="1"/>
        <v>3</v>
      </c>
      <c r="I45" s="1">
        <v>0.08</v>
      </c>
      <c r="U45" s="1">
        <v>7</v>
      </c>
      <c r="W45" s="1">
        <v>3</v>
      </c>
      <c r="AU45" s="1">
        <v>35</v>
      </c>
      <c r="AV45" s="1" t="s">
        <v>547</v>
      </c>
      <c r="AW45" s="1" t="s">
        <v>492</v>
      </c>
      <c r="AX45" s="1" t="s">
        <v>550</v>
      </c>
      <c r="AY45" s="1" t="s">
        <v>551</v>
      </c>
      <c r="AZ45" s="1" t="s">
        <v>254</v>
      </c>
      <c r="BA45" s="1" t="s">
        <v>548</v>
      </c>
      <c r="BB45" s="1" t="s">
        <v>478</v>
      </c>
      <c r="BC45" s="1" t="s">
        <v>476</v>
      </c>
      <c r="BD45" s="5" t="s">
        <v>549</v>
      </c>
    </row>
    <row r="46" spans="1:56" ht="15.75" customHeight="1">
      <c r="A46" s="1">
        <f t="shared" si="0"/>
        <v>30009</v>
      </c>
      <c r="B46" s="1">
        <v>2</v>
      </c>
      <c r="C46" s="1">
        <v>0</v>
      </c>
      <c r="D46" s="1">
        <v>3</v>
      </c>
      <c r="E46" s="1">
        <f t="shared" si="1"/>
        <v>4</v>
      </c>
      <c r="I46" s="1">
        <v>8.5000000000000006E-2</v>
      </c>
      <c r="U46" s="1">
        <v>7</v>
      </c>
      <c r="W46" s="1">
        <v>4</v>
      </c>
      <c r="AU46" s="1">
        <v>40</v>
      </c>
      <c r="AV46" s="1" t="s">
        <v>547</v>
      </c>
      <c r="AW46" s="1" t="s">
        <v>494</v>
      </c>
      <c r="AX46" s="1" t="s">
        <v>550</v>
      </c>
      <c r="AY46" s="1" t="s">
        <v>551</v>
      </c>
      <c r="AZ46" s="1" t="s">
        <v>495</v>
      </c>
      <c r="BA46" s="1" t="s">
        <v>548</v>
      </c>
      <c r="BB46" s="1" t="s">
        <v>482</v>
      </c>
      <c r="BC46" s="1" t="s">
        <v>476</v>
      </c>
      <c r="BD46" s="5" t="s">
        <v>549</v>
      </c>
    </row>
    <row r="47" spans="1:56" ht="15.75" customHeight="1">
      <c r="A47" s="1">
        <f t="shared" si="0"/>
        <v>30010</v>
      </c>
      <c r="B47" s="1">
        <v>0</v>
      </c>
      <c r="C47" s="1">
        <v>0</v>
      </c>
      <c r="D47" s="1">
        <v>3</v>
      </c>
      <c r="E47" s="1">
        <f t="shared" si="1"/>
        <v>0</v>
      </c>
      <c r="I47" s="1">
        <v>6.5000000000000002E-2</v>
      </c>
      <c r="Q47" s="1">
        <v>11</v>
      </c>
      <c r="R47" s="1"/>
      <c r="AB47" s="1">
        <v>2</v>
      </c>
      <c r="AU47" s="1">
        <v>30</v>
      </c>
      <c r="AV47" s="1" t="s">
        <v>552</v>
      </c>
      <c r="AW47" s="1" t="s">
        <v>512</v>
      </c>
      <c r="AX47" s="1" t="s">
        <v>174</v>
      </c>
      <c r="AY47" s="1" t="s">
        <v>553</v>
      </c>
      <c r="AZ47" s="1" t="s">
        <v>554</v>
      </c>
      <c r="BA47" s="1" t="s">
        <v>555</v>
      </c>
      <c r="BB47" s="1" t="s">
        <v>167</v>
      </c>
      <c r="BC47" s="1" t="s">
        <v>487</v>
      </c>
      <c r="BD47" s="5" t="s">
        <v>556</v>
      </c>
    </row>
    <row r="48" spans="1:56" ht="15.75" customHeight="1">
      <c r="A48" s="1">
        <f t="shared" si="0"/>
        <v>30010</v>
      </c>
      <c r="B48" s="1">
        <v>0</v>
      </c>
      <c r="C48" s="1">
        <v>0</v>
      </c>
      <c r="D48" s="1">
        <v>3</v>
      </c>
      <c r="E48" s="1">
        <f t="shared" si="1"/>
        <v>1</v>
      </c>
      <c r="I48" s="1">
        <v>7.0000000000000007E-2</v>
      </c>
      <c r="Q48" s="1">
        <v>11</v>
      </c>
      <c r="R48" s="1"/>
      <c r="AB48" s="1">
        <v>2</v>
      </c>
      <c r="AU48" s="1">
        <v>35</v>
      </c>
      <c r="AV48" s="1" t="s">
        <v>552</v>
      </c>
      <c r="AW48" s="1" t="s">
        <v>515</v>
      </c>
      <c r="AX48" s="1" t="s">
        <v>174</v>
      </c>
      <c r="AY48" s="1" t="s">
        <v>553</v>
      </c>
      <c r="AZ48" s="1" t="s">
        <v>554</v>
      </c>
      <c r="BA48" s="1" t="s">
        <v>555</v>
      </c>
      <c r="BB48" s="1" t="s">
        <v>516</v>
      </c>
      <c r="BC48" s="1" t="s">
        <v>487</v>
      </c>
      <c r="BD48" s="5" t="s">
        <v>556</v>
      </c>
    </row>
    <row r="49" spans="1:56" ht="15.75" customHeight="1">
      <c r="A49" s="1">
        <f t="shared" si="0"/>
        <v>30010</v>
      </c>
      <c r="B49" s="1">
        <v>0</v>
      </c>
      <c r="C49" s="1">
        <v>0</v>
      </c>
      <c r="D49" s="1">
        <v>3</v>
      </c>
      <c r="E49" s="1">
        <f t="shared" si="1"/>
        <v>2</v>
      </c>
      <c r="I49" s="1">
        <v>7.4999999999999997E-2</v>
      </c>
      <c r="Q49" s="1">
        <v>11</v>
      </c>
      <c r="R49" s="1"/>
      <c r="AB49" s="1">
        <v>2</v>
      </c>
      <c r="AU49" s="1">
        <v>35</v>
      </c>
      <c r="AV49" s="1" t="s">
        <v>552</v>
      </c>
      <c r="AW49" s="1" t="s">
        <v>517</v>
      </c>
      <c r="AX49" s="1" t="s">
        <v>557</v>
      </c>
      <c r="AY49" s="1" t="s">
        <v>553</v>
      </c>
      <c r="AZ49" s="1" t="s">
        <v>554</v>
      </c>
      <c r="BA49" s="1" t="s">
        <v>555</v>
      </c>
      <c r="BB49" s="1" t="s">
        <v>516</v>
      </c>
      <c r="BC49" s="1" t="s">
        <v>487</v>
      </c>
      <c r="BD49" s="5" t="s">
        <v>556</v>
      </c>
    </row>
    <row r="50" spans="1:56" ht="15.75" customHeight="1">
      <c r="A50" s="1">
        <f t="shared" si="0"/>
        <v>30010</v>
      </c>
      <c r="B50" s="1">
        <v>0</v>
      </c>
      <c r="C50" s="1">
        <v>0</v>
      </c>
      <c r="D50" s="1">
        <v>3</v>
      </c>
      <c r="E50" s="1">
        <f t="shared" si="1"/>
        <v>3</v>
      </c>
      <c r="I50" s="1">
        <v>0.08</v>
      </c>
      <c r="Q50" s="1">
        <v>15</v>
      </c>
      <c r="R50" s="1"/>
      <c r="AB50" s="1">
        <v>2</v>
      </c>
      <c r="AU50" s="1">
        <v>35</v>
      </c>
      <c r="AV50" s="1" t="s">
        <v>552</v>
      </c>
      <c r="AW50" s="1" t="s">
        <v>518</v>
      </c>
      <c r="AX50" s="1" t="s">
        <v>557</v>
      </c>
      <c r="AY50" s="1" t="s">
        <v>558</v>
      </c>
      <c r="AZ50" s="1" t="s">
        <v>554</v>
      </c>
      <c r="BA50" s="1" t="s">
        <v>555</v>
      </c>
      <c r="BB50" s="1" t="s">
        <v>516</v>
      </c>
      <c r="BC50" s="1" t="s">
        <v>487</v>
      </c>
      <c r="BD50" s="5" t="s">
        <v>556</v>
      </c>
    </row>
    <row r="51" spans="1:56" ht="15.75" customHeight="1">
      <c r="A51" s="1">
        <f t="shared" si="0"/>
        <v>30010</v>
      </c>
      <c r="B51" s="1">
        <v>0</v>
      </c>
      <c r="C51" s="1">
        <v>0</v>
      </c>
      <c r="D51" s="1">
        <v>3</v>
      </c>
      <c r="E51" s="1">
        <f t="shared" si="1"/>
        <v>4</v>
      </c>
      <c r="I51" s="1">
        <v>8.5000000000000006E-2</v>
      </c>
      <c r="Q51" s="1">
        <v>15</v>
      </c>
      <c r="R51" s="1"/>
      <c r="AB51" s="1">
        <v>3</v>
      </c>
      <c r="AU51" s="1">
        <v>40</v>
      </c>
      <c r="AV51" s="1" t="s">
        <v>552</v>
      </c>
      <c r="AW51" s="1" t="s">
        <v>520</v>
      </c>
      <c r="AX51" s="1" t="s">
        <v>557</v>
      </c>
      <c r="AY51" s="1" t="s">
        <v>558</v>
      </c>
      <c r="AZ51" s="1" t="s">
        <v>559</v>
      </c>
      <c r="BA51" s="1" t="s">
        <v>555</v>
      </c>
      <c r="BB51" s="1" t="s">
        <v>522</v>
      </c>
      <c r="BC51" s="1" t="s">
        <v>487</v>
      </c>
      <c r="BD51" s="5" t="s">
        <v>556</v>
      </c>
    </row>
    <row r="52" spans="1:56" ht="15.75" customHeight="1">
      <c r="A52" s="1">
        <f t="shared" si="0"/>
        <v>30011</v>
      </c>
      <c r="B52" s="1">
        <v>0</v>
      </c>
      <c r="C52" s="1">
        <v>0</v>
      </c>
      <c r="D52" s="1">
        <v>3</v>
      </c>
      <c r="E52" s="1">
        <f t="shared" si="1"/>
        <v>0</v>
      </c>
      <c r="G52" s="1">
        <v>52</v>
      </c>
      <c r="H52" s="1">
        <v>30</v>
      </c>
      <c r="J52" s="1">
        <v>4</v>
      </c>
      <c r="U52" s="1">
        <v>5</v>
      </c>
      <c r="AU52" s="1">
        <v>30</v>
      </c>
      <c r="AV52" s="1" t="s">
        <v>560</v>
      </c>
      <c r="AW52" s="1" t="s">
        <v>946</v>
      </c>
      <c r="AX52" s="1" t="s">
        <v>182</v>
      </c>
      <c r="AY52" s="1" t="s">
        <v>176</v>
      </c>
      <c r="AZ52" s="1" t="s">
        <v>183</v>
      </c>
      <c r="BA52" s="1" t="s">
        <v>561</v>
      </c>
      <c r="BB52" s="1" t="s">
        <v>167</v>
      </c>
      <c r="BC52" s="1" t="s">
        <v>487</v>
      </c>
      <c r="BD52" s="5" t="s">
        <v>562</v>
      </c>
    </row>
    <row r="53" spans="1:56" ht="15.75" customHeight="1">
      <c r="A53" s="1">
        <f t="shared" si="0"/>
        <v>30011</v>
      </c>
      <c r="B53" s="1">
        <v>0</v>
      </c>
      <c r="C53" s="1">
        <v>0</v>
      </c>
      <c r="D53" s="1">
        <v>3</v>
      </c>
      <c r="E53" s="1">
        <f t="shared" si="1"/>
        <v>1</v>
      </c>
      <c r="G53" s="1">
        <v>55</v>
      </c>
      <c r="H53" s="1">
        <v>30</v>
      </c>
      <c r="J53" s="1">
        <v>4</v>
      </c>
      <c r="U53" s="1">
        <v>5</v>
      </c>
      <c r="AU53" s="1">
        <v>35</v>
      </c>
      <c r="AV53" s="1" t="s">
        <v>560</v>
      </c>
      <c r="AW53" s="1" t="s">
        <v>949</v>
      </c>
      <c r="AX53" s="1" t="s">
        <v>182</v>
      </c>
      <c r="AY53" s="1" t="s">
        <v>176</v>
      </c>
      <c r="AZ53" s="1" t="s">
        <v>183</v>
      </c>
      <c r="BA53" s="1" t="s">
        <v>561</v>
      </c>
      <c r="BB53" s="1" t="s">
        <v>516</v>
      </c>
      <c r="BC53" s="1" t="s">
        <v>487</v>
      </c>
      <c r="BD53" s="5" t="s">
        <v>562</v>
      </c>
    </row>
    <row r="54" spans="1:56" ht="15.75" customHeight="1">
      <c r="A54" s="1">
        <f t="shared" si="0"/>
        <v>30011</v>
      </c>
      <c r="B54" s="1">
        <v>0</v>
      </c>
      <c r="C54" s="1">
        <v>0</v>
      </c>
      <c r="D54" s="1">
        <v>3</v>
      </c>
      <c r="E54" s="1">
        <f t="shared" si="1"/>
        <v>2</v>
      </c>
      <c r="G54" s="1">
        <v>59</v>
      </c>
      <c r="H54" s="1">
        <v>40</v>
      </c>
      <c r="J54" s="1">
        <v>4</v>
      </c>
      <c r="U54" s="1">
        <v>5</v>
      </c>
      <c r="AU54" s="1">
        <v>35</v>
      </c>
      <c r="AV54" s="1" t="s">
        <v>560</v>
      </c>
      <c r="AW54" s="1" t="s">
        <v>952</v>
      </c>
      <c r="AX54" s="1" t="s">
        <v>479</v>
      </c>
      <c r="AY54" s="1" t="s">
        <v>176</v>
      </c>
      <c r="AZ54" s="1" t="s">
        <v>183</v>
      </c>
      <c r="BA54" s="1" t="s">
        <v>561</v>
      </c>
      <c r="BB54" s="1" t="s">
        <v>516</v>
      </c>
      <c r="BC54" s="1" t="s">
        <v>487</v>
      </c>
      <c r="BD54" s="5" t="s">
        <v>562</v>
      </c>
    </row>
    <row r="55" spans="1:56" ht="15.75" customHeight="1">
      <c r="A55" s="1">
        <f t="shared" si="0"/>
        <v>30011</v>
      </c>
      <c r="B55" s="1">
        <v>0</v>
      </c>
      <c r="C55" s="1">
        <v>0</v>
      </c>
      <c r="D55" s="1">
        <v>3</v>
      </c>
      <c r="E55" s="1">
        <f t="shared" si="1"/>
        <v>3</v>
      </c>
      <c r="G55" s="1">
        <v>62</v>
      </c>
      <c r="H55" s="1">
        <v>40</v>
      </c>
      <c r="J55" s="1">
        <v>6</v>
      </c>
      <c r="U55" s="1">
        <v>5</v>
      </c>
      <c r="AU55" s="1">
        <v>35</v>
      </c>
      <c r="AV55" s="1" t="s">
        <v>560</v>
      </c>
      <c r="AW55" s="1" t="s">
        <v>955</v>
      </c>
      <c r="AX55" s="1" t="s">
        <v>479</v>
      </c>
      <c r="AY55" s="1" t="s">
        <v>519</v>
      </c>
      <c r="AZ55" s="1" t="s">
        <v>183</v>
      </c>
      <c r="BA55" s="1" t="s">
        <v>561</v>
      </c>
      <c r="BB55" s="1" t="s">
        <v>516</v>
      </c>
      <c r="BC55" s="1" t="s">
        <v>487</v>
      </c>
      <c r="BD55" s="5" t="s">
        <v>562</v>
      </c>
    </row>
    <row r="56" spans="1:56" ht="15.75" customHeight="1">
      <c r="A56" s="1">
        <f t="shared" si="0"/>
        <v>30011</v>
      </c>
      <c r="B56" s="1">
        <v>0</v>
      </c>
      <c r="C56" s="1">
        <v>0</v>
      </c>
      <c r="D56" s="1">
        <v>3</v>
      </c>
      <c r="E56" s="1">
        <f t="shared" si="1"/>
        <v>4</v>
      </c>
      <c r="G56" s="1">
        <v>65</v>
      </c>
      <c r="H56" s="1">
        <v>40</v>
      </c>
      <c r="J56" s="1">
        <v>6</v>
      </c>
      <c r="U56" s="1">
        <v>7</v>
      </c>
      <c r="AU56" s="1">
        <v>40</v>
      </c>
      <c r="AV56" s="1" t="s">
        <v>560</v>
      </c>
      <c r="AW56" s="1" t="s">
        <v>958</v>
      </c>
      <c r="AX56" s="1" t="s">
        <v>479</v>
      </c>
      <c r="AY56" s="1" t="s">
        <v>519</v>
      </c>
      <c r="AZ56" s="1" t="s">
        <v>563</v>
      </c>
      <c r="BA56" s="1" t="s">
        <v>561</v>
      </c>
      <c r="BB56" s="1" t="s">
        <v>522</v>
      </c>
      <c r="BC56" s="1" t="s">
        <v>487</v>
      </c>
      <c r="BD56" s="5" t="s">
        <v>562</v>
      </c>
    </row>
    <row r="57" spans="1:56" ht="15.75" customHeight="1">
      <c r="A57" s="1">
        <f t="shared" si="0"/>
        <v>30012</v>
      </c>
      <c r="B57" s="1">
        <v>1</v>
      </c>
      <c r="C57" s="1">
        <v>0</v>
      </c>
      <c r="D57" s="1">
        <v>3</v>
      </c>
      <c r="E57" s="1">
        <f t="shared" si="1"/>
        <v>0</v>
      </c>
      <c r="G57" s="1">
        <v>52</v>
      </c>
      <c r="J57" s="1">
        <v>4</v>
      </c>
      <c r="S57" s="1">
        <v>14</v>
      </c>
      <c r="T57" s="1"/>
      <c r="AU57" s="1">
        <v>30</v>
      </c>
      <c r="AV57" s="1" t="s">
        <v>564</v>
      </c>
      <c r="AW57" s="1" t="s">
        <v>945</v>
      </c>
      <c r="AX57" s="1" t="s">
        <v>565</v>
      </c>
      <c r="AY57" s="1" t="s">
        <v>213</v>
      </c>
      <c r="AZ57" s="1" t="s">
        <v>935</v>
      </c>
      <c r="BA57" s="1" t="s">
        <v>566</v>
      </c>
      <c r="BB57" s="1" t="s">
        <v>214</v>
      </c>
      <c r="BC57" s="1" t="s">
        <v>487</v>
      </c>
      <c r="BD57" s="5" t="s">
        <v>567</v>
      </c>
    </row>
    <row r="58" spans="1:56" ht="15.75" customHeight="1">
      <c r="A58" s="1">
        <f t="shared" si="0"/>
        <v>30012</v>
      </c>
      <c r="B58" s="1">
        <v>1</v>
      </c>
      <c r="C58" s="1">
        <v>0</v>
      </c>
      <c r="D58" s="1">
        <v>3</v>
      </c>
      <c r="E58" s="1">
        <f t="shared" si="1"/>
        <v>1</v>
      </c>
      <c r="G58" s="1">
        <v>55</v>
      </c>
      <c r="J58" s="1">
        <v>4</v>
      </c>
      <c r="S58" s="1">
        <v>14</v>
      </c>
      <c r="T58" s="1"/>
      <c r="AU58" s="1">
        <v>35</v>
      </c>
      <c r="AV58" s="1" t="s">
        <v>564</v>
      </c>
      <c r="AW58" s="1" t="s">
        <v>948</v>
      </c>
      <c r="AX58" s="1" t="s">
        <v>565</v>
      </c>
      <c r="AY58" s="1" t="s">
        <v>213</v>
      </c>
      <c r="AZ58" s="1" t="s">
        <v>935</v>
      </c>
      <c r="BA58" s="1" t="s">
        <v>566</v>
      </c>
      <c r="BB58" s="1" t="s">
        <v>503</v>
      </c>
      <c r="BC58" s="1" t="s">
        <v>487</v>
      </c>
      <c r="BD58" s="5" t="s">
        <v>567</v>
      </c>
    </row>
    <row r="59" spans="1:56" ht="15.75" customHeight="1">
      <c r="A59" s="1">
        <f t="shared" si="0"/>
        <v>30012</v>
      </c>
      <c r="B59" s="1">
        <v>1</v>
      </c>
      <c r="C59" s="1">
        <v>0</v>
      </c>
      <c r="D59" s="1">
        <v>3</v>
      </c>
      <c r="E59" s="1">
        <f t="shared" si="1"/>
        <v>2</v>
      </c>
      <c r="G59" s="1">
        <v>59</v>
      </c>
      <c r="J59" s="1">
        <v>4</v>
      </c>
      <c r="S59" s="1">
        <v>14</v>
      </c>
      <c r="T59" s="1"/>
      <c r="AU59" s="1">
        <v>35</v>
      </c>
      <c r="AV59" s="1" t="s">
        <v>564</v>
      </c>
      <c r="AW59" s="1" t="s">
        <v>951</v>
      </c>
      <c r="AX59" s="1" t="s">
        <v>568</v>
      </c>
      <c r="AY59" s="1" t="s">
        <v>213</v>
      </c>
      <c r="AZ59" s="1" t="s">
        <v>935</v>
      </c>
      <c r="BA59" s="1" t="s">
        <v>566</v>
      </c>
      <c r="BB59" s="1" t="s">
        <v>503</v>
      </c>
      <c r="BC59" s="1" t="s">
        <v>487</v>
      </c>
      <c r="BD59" s="5" t="s">
        <v>567</v>
      </c>
    </row>
    <row r="60" spans="1:56" ht="15.75" customHeight="1">
      <c r="A60" s="1">
        <f t="shared" si="0"/>
        <v>30012</v>
      </c>
      <c r="B60" s="1">
        <v>1</v>
      </c>
      <c r="C60" s="1">
        <v>0</v>
      </c>
      <c r="D60" s="1">
        <v>3</v>
      </c>
      <c r="E60" s="1">
        <f t="shared" si="1"/>
        <v>3</v>
      </c>
      <c r="G60" s="1">
        <v>62</v>
      </c>
      <c r="J60" s="1">
        <v>6</v>
      </c>
      <c r="S60" s="1">
        <v>14</v>
      </c>
      <c r="T60" s="1"/>
      <c r="AU60" s="1">
        <v>35</v>
      </c>
      <c r="AV60" s="1" t="s">
        <v>564</v>
      </c>
      <c r="AW60" s="1" t="s">
        <v>954</v>
      </c>
      <c r="AX60" s="1" t="s">
        <v>568</v>
      </c>
      <c r="AY60" s="1" t="s">
        <v>569</v>
      </c>
      <c r="AZ60" s="1" t="s">
        <v>935</v>
      </c>
      <c r="BA60" s="1" t="s">
        <v>566</v>
      </c>
      <c r="BB60" s="1" t="s">
        <v>503</v>
      </c>
      <c r="BC60" s="1" t="s">
        <v>487</v>
      </c>
      <c r="BD60" s="5" t="s">
        <v>567</v>
      </c>
    </row>
    <row r="61" spans="1:56" ht="15.75" customHeight="1">
      <c r="A61" s="1">
        <f t="shared" si="0"/>
        <v>30012</v>
      </c>
      <c r="B61" s="1">
        <v>1</v>
      </c>
      <c r="C61" s="1">
        <v>0</v>
      </c>
      <c r="D61" s="1">
        <v>3</v>
      </c>
      <c r="E61" s="1">
        <f t="shared" si="1"/>
        <v>4</v>
      </c>
      <c r="G61" s="1">
        <v>65</v>
      </c>
      <c r="J61" s="1">
        <v>6</v>
      </c>
      <c r="S61" s="1">
        <v>18</v>
      </c>
      <c r="T61" s="1"/>
      <c r="AU61" s="1">
        <v>40</v>
      </c>
      <c r="AV61" s="1" t="s">
        <v>564</v>
      </c>
      <c r="AW61" s="1" t="s">
        <v>957</v>
      </c>
      <c r="AX61" s="1" t="s">
        <v>568</v>
      </c>
      <c r="AY61" s="1" t="s">
        <v>569</v>
      </c>
      <c r="AZ61" s="1" t="s">
        <v>961</v>
      </c>
      <c r="BA61" s="1" t="s">
        <v>566</v>
      </c>
      <c r="BB61" s="1" t="s">
        <v>510</v>
      </c>
      <c r="BC61" s="1" t="s">
        <v>487</v>
      </c>
      <c r="BD61" s="5" t="s">
        <v>567</v>
      </c>
    </row>
    <row r="62" spans="1:56" ht="15.75" customHeight="1">
      <c r="A62" s="1">
        <f t="shared" si="0"/>
        <v>30013</v>
      </c>
      <c r="B62" s="1">
        <v>1</v>
      </c>
      <c r="C62" s="1">
        <v>0</v>
      </c>
      <c r="D62" s="1">
        <v>3</v>
      </c>
      <c r="E62" s="1">
        <f t="shared" si="1"/>
        <v>0</v>
      </c>
      <c r="H62" s="1">
        <v>30</v>
      </c>
      <c r="I62" s="1">
        <v>6.5000000000000002E-2</v>
      </c>
      <c r="J62" s="1">
        <v>4</v>
      </c>
      <c r="AC62" s="1">
        <v>2</v>
      </c>
      <c r="AU62" s="1">
        <v>30</v>
      </c>
      <c r="AV62" s="1" t="s">
        <v>570</v>
      </c>
      <c r="AW62" s="1" t="s">
        <v>497</v>
      </c>
      <c r="AX62" s="1" t="s">
        <v>182</v>
      </c>
      <c r="AY62" s="1" t="s">
        <v>213</v>
      </c>
      <c r="AZ62" s="1" t="s">
        <v>571</v>
      </c>
      <c r="BA62" s="1" t="s">
        <v>572</v>
      </c>
      <c r="BB62" s="1" t="s">
        <v>214</v>
      </c>
      <c r="BC62" s="1" t="s">
        <v>476</v>
      </c>
      <c r="BD62" s="5" t="s">
        <v>573</v>
      </c>
    </row>
    <row r="63" spans="1:56" ht="15.75" customHeight="1">
      <c r="A63" s="1">
        <f t="shared" si="0"/>
        <v>30013</v>
      </c>
      <c r="B63" s="1">
        <v>1</v>
      </c>
      <c r="C63" s="1">
        <v>0</v>
      </c>
      <c r="D63" s="1">
        <v>3</v>
      </c>
      <c r="E63" s="1">
        <f t="shared" si="1"/>
        <v>1</v>
      </c>
      <c r="H63" s="1">
        <v>30</v>
      </c>
      <c r="I63" s="1">
        <v>7.0000000000000007E-2</v>
      </c>
      <c r="J63" s="1">
        <v>4</v>
      </c>
      <c r="AC63" s="1">
        <v>2</v>
      </c>
      <c r="AU63" s="1">
        <v>35</v>
      </c>
      <c r="AV63" s="1" t="s">
        <v>570</v>
      </c>
      <c r="AW63" s="1" t="s">
        <v>502</v>
      </c>
      <c r="AX63" s="1" t="s">
        <v>182</v>
      </c>
      <c r="AY63" s="1" t="s">
        <v>213</v>
      </c>
      <c r="AZ63" s="1" t="s">
        <v>571</v>
      </c>
      <c r="BA63" s="1" t="s">
        <v>572</v>
      </c>
      <c r="BB63" s="1" t="s">
        <v>503</v>
      </c>
      <c r="BC63" s="1" t="s">
        <v>476</v>
      </c>
      <c r="BD63" s="5" t="s">
        <v>573</v>
      </c>
    </row>
    <row r="64" spans="1:56" ht="15.75" customHeight="1">
      <c r="A64" s="1">
        <f t="shared" si="0"/>
        <v>30013</v>
      </c>
      <c r="B64" s="1">
        <v>1</v>
      </c>
      <c r="C64" s="1">
        <v>0</v>
      </c>
      <c r="D64" s="1">
        <v>3</v>
      </c>
      <c r="E64" s="1">
        <f t="shared" si="1"/>
        <v>2</v>
      </c>
      <c r="H64" s="1">
        <v>40</v>
      </c>
      <c r="I64" s="1">
        <v>7.4999999999999997E-2</v>
      </c>
      <c r="J64" s="1">
        <v>4</v>
      </c>
      <c r="AC64" s="1">
        <v>2</v>
      </c>
      <c r="AU64" s="1">
        <v>35</v>
      </c>
      <c r="AV64" s="1" t="s">
        <v>570</v>
      </c>
      <c r="AW64" s="1" t="s">
        <v>504</v>
      </c>
      <c r="AX64" s="1" t="s">
        <v>479</v>
      </c>
      <c r="AY64" s="1" t="s">
        <v>213</v>
      </c>
      <c r="AZ64" s="1" t="s">
        <v>571</v>
      </c>
      <c r="BA64" s="1" t="s">
        <v>572</v>
      </c>
      <c r="BB64" s="1" t="s">
        <v>503</v>
      </c>
      <c r="BC64" s="1" t="s">
        <v>476</v>
      </c>
      <c r="BD64" s="5" t="s">
        <v>573</v>
      </c>
    </row>
    <row r="65" spans="1:56" ht="15.75" customHeight="1">
      <c r="A65" s="1">
        <f t="shared" si="0"/>
        <v>30013</v>
      </c>
      <c r="B65" s="1">
        <v>1</v>
      </c>
      <c r="C65" s="1">
        <v>0</v>
      </c>
      <c r="D65" s="1">
        <v>3</v>
      </c>
      <c r="E65" s="1">
        <f t="shared" si="1"/>
        <v>3</v>
      </c>
      <c r="H65" s="1">
        <v>40</v>
      </c>
      <c r="I65" s="1">
        <v>0.08</v>
      </c>
      <c r="J65" s="1">
        <v>6</v>
      </c>
      <c r="AC65" s="1">
        <v>2</v>
      </c>
      <c r="AU65" s="1">
        <v>35</v>
      </c>
      <c r="AV65" s="1" t="s">
        <v>570</v>
      </c>
      <c r="AW65" s="1" t="s">
        <v>506</v>
      </c>
      <c r="AX65" s="1" t="s">
        <v>479</v>
      </c>
      <c r="AY65" s="1" t="s">
        <v>569</v>
      </c>
      <c r="AZ65" s="1" t="s">
        <v>571</v>
      </c>
      <c r="BA65" s="1" t="s">
        <v>572</v>
      </c>
      <c r="BB65" s="1" t="s">
        <v>503</v>
      </c>
      <c r="BC65" s="1" t="s">
        <v>476</v>
      </c>
      <c r="BD65" s="5" t="s">
        <v>573</v>
      </c>
    </row>
    <row r="66" spans="1:56" ht="15.75" customHeight="1">
      <c r="A66" s="1">
        <f t="shared" si="0"/>
        <v>30013</v>
      </c>
      <c r="B66" s="1">
        <v>1</v>
      </c>
      <c r="C66" s="1">
        <v>0</v>
      </c>
      <c r="D66" s="1">
        <v>3</v>
      </c>
      <c r="E66" s="1">
        <f t="shared" si="1"/>
        <v>4</v>
      </c>
      <c r="H66" s="1">
        <v>40</v>
      </c>
      <c r="I66" s="1">
        <v>8.5000000000000006E-2</v>
      </c>
      <c r="J66" s="1">
        <v>6</v>
      </c>
      <c r="AC66" s="1">
        <v>3</v>
      </c>
      <c r="AU66" s="1">
        <v>40</v>
      </c>
      <c r="AV66" s="1" t="s">
        <v>570</v>
      </c>
      <c r="AW66" s="1" t="s">
        <v>508</v>
      </c>
      <c r="AX66" s="1" t="s">
        <v>479</v>
      </c>
      <c r="AY66" s="1" t="s">
        <v>569</v>
      </c>
      <c r="AZ66" s="1" t="s">
        <v>574</v>
      </c>
      <c r="BA66" s="1" t="s">
        <v>572</v>
      </c>
      <c r="BB66" s="1" t="s">
        <v>510</v>
      </c>
      <c r="BC66" s="1" t="s">
        <v>476</v>
      </c>
      <c r="BD66" s="5" t="s">
        <v>573</v>
      </c>
    </row>
    <row r="67" spans="1:56" ht="15.75" customHeight="1">
      <c r="A67" s="1">
        <f t="shared" si="0"/>
        <v>30014</v>
      </c>
      <c r="B67" s="1">
        <v>0</v>
      </c>
      <c r="C67" s="1">
        <v>0</v>
      </c>
      <c r="D67" s="1">
        <v>3</v>
      </c>
      <c r="E67" s="1">
        <f t="shared" si="1"/>
        <v>0</v>
      </c>
      <c r="F67" s="1">
        <v>21</v>
      </c>
      <c r="G67" s="1">
        <v>52</v>
      </c>
      <c r="J67" s="1">
        <v>4</v>
      </c>
      <c r="W67" s="1">
        <v>3</v>
      </c>
      <c r="AU67" s="1">
        <v>30</v>
      </c>
      <c r="AV67" s="1" t="s">
        <v>575</v>
      </c>
      <c r="AW67" s="1" t="s">
        <v>946</v>
      </c>
      <c r="AX67" s="1" t="s">
        <v>161</v>
      </c>
      <c r="AY67" s="1" t="s">
        <v>176</v>
      </c>
      <c r="AZ67" s="1" t="s">
        <v>247</v>
      </c>
      <c r="BA67" s="1" t="s">
        <v>576</v>
      </c>
      <c r="BB67" s="1" t="s">
        <v>167</v>
      </c>
      <c r="BC67" s="1" t="s">
        <v>476</v>
      </c>
      <c r="BD67" s="5" t="s">
        <v>577</v>
      </c>
    </row>
    <row r="68" spans="1:56" ht="15.75" customHeight="1">
      <c r="A68" s="1">
        <f t="shared" si="0"/>
        <v>30014</v>
      </c>
      <c r="B68" s="1">
        <v>0</v>
      </c>
      <c r="C68" s="1">
        <v>0</v>
      </c>
      <c r="D68" s="1">
        <v>3</v>
      </c>
      <c r="E68" s="1">
        <f t="shared" si="1"/>
        <v>1</v>
      </c>
      <c r="F68" s="1">
        <v>21</v>
      </c>
      <c r="G68" s="1">
        <v>55</v>
      </c>
      <c r="J68" s="1">
        <v>4</v>
      </c>
      <c r="W68" s="1">
        <v>3</v>
      </c>
      <c r="AU68" s="1">
        <v>35</v>
      </c>
      <c r="AV68" s="1" t="s">
        <v>575</v>
      </c>
      <c r="AW68" s="1" t="s">
        <v>949</v>
      </c>
      <c r="AX68" s="1" t="s">
        <v>161</v>
      </c>
      <c r="AY68" s="1" t="s">
        <v>176</v>
      </c>
      <c r="AZ68" s="1" t="s">
        <v>247</v>
      </c>
      <c r="BA68" s="1" t="s">
        <v>576</v>
      </c>
      <c r="BB68" s="1" t="s">
        <v>516</v>
      </c>
      <c r="BC68" s="1" t="s">
        <v>476</v>
      </c>
      <c r="BD68" s="5" t="s">
        <v>577</v>
      </c>
    </row>
    <row r="69" spans="1:56" ht="15.75" customHeight="1">
      <c r="A69" s="1">
        <f t="shared" si="0"/>
        <v>30014</v>
      </c>
      <c r="B69" s="1">
        <v>0</v>
      </c>
      <c r="C69" s="1">
        <v>0</v>
      </c>
      <c r="D69" s="1">
        <v>3</v>
      </c>
      <c r="E69" s="1">
        <f t="shared" si="1"/>
        <v>2</v>
      </c>
      <c r="F69" s="1">
        <v>28</v>
      </c>
      <c r="G69" s="1">
        <v>59</v>
      </c>
      <c r="J69" s="1">
        <v>4</v>
      </c>
      <c r="W69" s="1">
        <v>3</v>
      </c>
      <c r="AU69" s="1">
        <v>35</v>
      </c>
      <c r="AV69" s="1" t="s">
        <v>575</v>
      </c>
      <c r="AW69" s="1" t="s">
        <v>952</v>
      </c>
      <c r="AX69" s="1" t="s">
        <v>544</v>
      </c>
      <c r="AY69" s="1" t="s">
        <v>176</v>
      </c>
      <c r="AZ69" s="1" t="s">
        <v>247</v>
      </c>
      <c r="BA69" s="1" t="s">
        <v>576</v>
      </c>
      <c r="BB69" s="1" t="s">
        <v>516</v>
      </c>
      <c r="BC69" s="1" t="s">
        <v>476</v>
      </c>
      <c r="BD69" s="5" t="s">
        <v>577</v>
      </c>
    </row>
    <row r="70" spans="1:56" ht="15.75" customHeight="1">
      <c r="A70" s="1">
        <f t="shared" si="0"/>
        <v>30014</v>
      </c>
      <c r="B70" s="1">
        <v>0</v>
      </c>
      <c r="C70" s="1">
        <v>0</v>
      </c>
      <c r="D70" s="1">
        <v>3</v>
      </c>
      <c r="E70" s="1">
        <f t="shared" si="1"/>
        <v>3</v>
      </c>
      <c r="F70" s="1">
        <v>28</v>
      </c>
      <c r="G70" s="1">
        <v>62</v>
      </c>
      <c r="J70" s="1">
        <v>6</v>
      </c>
      <c r="W70" s="1">
        <v>3</v>
      </c>
      <c r="AU70" s="1">
        <v>35</v>
      </c>
      <c r="AV70" s="1" t="s">
        <v>575</v>
      </c>
      <c r="AW70" s="1" t="s">
        <v>955</v>
      </c>
      <c r="AX70" s="1" t="s">
        <v>544</v>
      </c>
      <c r="AY70" s="1" t="s">
        <v>519</v>
      </c>
      <c r="AZ70" s="1" t="s">
        <v>247</v>
      </c>
      <c r="BA70" s="1" t="s">
        <v>576</v>
      </c>
      <c r="BB70" s="1" t="s">
        <v>516</v>
      </c>
      <c r="BC70" s="1" t="s">
        <v>476</v>
      </c>
      <c r="BD70" s="5" t="s">
        <v>577</v>
      </c>
    </row>
    <row r="71" spans="1:56" ht="15.75" customHeight="1">
      <c r="A71" s="1">
        <f t="shared" si="0"/>
        <v>30014</v>
      </c>
      <c r="B71" s="1">
        <v>0</v>
      </c>
      <c r="C71" s="1">
        <v>0</v>
      </c>
      <c r="D71" s="1">
        <v>3</v>
      </c>
      <c r="E71" s="1">
        <f t="shared" si="1"/>
        <v>4</v>
      </c>
      <c r="F71" s="1">
        <v>28</v>
      </c>
      <c r="G71" s="1">
        <v>65</v>
      </c>
      <c r="J71" s="1">
        <v>6</v>
      </c>
      <c r="W71" s="1">
        <v>4</v>
      </c>
      <c r="AU71" s="1">
        <v>40</v>
      </c>
      <c r="AV71" s="1" t="s">
        <v>575</v>
      </c>
      <c r="AW71" s="1" t="s">
        <v>958</v>
      </c>
      <c r="AX71" s="1" t="s">
        <v>544</v>
      </c>
      <c r="AY71" s="1" t="s">
        <v>519</v>
      </c>
      <c r="AZ71" s="1" t="s">
        <v>521</v>
      </c>
      <c r="BA71" s="1" t="s">
        <v>576</v>
      </c>
      <c r="BB71" s="1" t="s">
        <v>522</v>
      </c>
      <c r="BC71" s="1" t="s">
        <v>476</v>
      </c>
      <c r="BD71" s="5" t="s">
        <v>577</v>
      </c>
    </row>
    <row r="72" spans="1:56" ht="15.75" customHeight="1">
      <c r="A72" s="1">
        <f t="shared" si="0"/>
        <v>30015</v>
      </c>
      <c r="B72" s="1">
        <v>0</v>
      </c>
      <c r="C72" s="1">
        <v>0</v>
      </c>
      <c r="D72" s="1">
        <v>3</v>
      </c>
      <c r="E72" s="1">
        <f t="shared" si="1"/>
        <v>0</v>
      </c>
      <c r="H72" s="1">
        <v>30</v>
      </c>
      <c r="I72" s="1">
        <v>6.5000000000000002E-2</v>
      </c>
      <c r="K72" s="1">
        <v>13</v>
      </c>
      <c r="Y72" s="1">
        <v>7</v>
      </c>
      <c r="AU72" s="1">
        <v>30</v>
      </c>
      <c r="AV72" s="1" t="s">
        <v>578</v>
      </c>
      <c r="AW72" s="1" t="s">
        <v>512</v>
      </c>
      <c r="AX72" s="1" t="s">
        <v>182</v>
      </c>
      <c r="AY72" s="1" t="s">
        <v>166</v>
      </c>
      <c r="AZ72" s="1" t="s">
        <v>579</v>
      </c>
      <c r="BA72" s="1" t="s">
        <v>580</v>
      </c>
      <c r="BB72" s="1" t="s">
        <v>167</v>
      </c>
      <c r="BC72" s="1" t="s">
        <v>487</v>
      </c>
      <c r="BD72" s="5" t="s">
        <v>581</v>
      </c>
    </row>
    <row r="73" spans="1:56" ht="15.75" customHeight="1">
      <c r="A73" s="1">
        <f t="shared" si="0"/>
        <v>30015</v>
      </c>
      <c r="B73" s="1">
        <v>0</v>
      </c>
      <c r="C73" s="1">
        <v>0</v>
      </c>
      <c r="D73" s="1">
        <v>3</v>
      </c>
      <c r="E73" s="1">
        <f t="shared" si="1"/>
        <v>1</v>
      </c>
      <c r="H73" s="1">
        <v>30</v>
      </c>
      <c r="I73" s="1">
        <v>7.0000000000000007E-2</v>
      </c>
      <c r="K73" s="1">
        <v>13</v>
      </c>
      <c r="Y73" s="1">
        <v>7</v>
      </c>
      <c r="AU73" s="1">
        <v>35</v>
      </c>
      <c r="AV73" s="1" t="s">
        <v>578</v>
      </c>
      <c r="AW73" s="1" t="s">
        <v>515</v>
      </c>
      <c r="AX73" s="1" t="s">
        <v>182</v>
      </c>
      <c r="AY73" s="1" t="s">
        <v>166</v>
      </c>
      <c r="AZ73" s="1" t="s">
        <v>579</v>
      </c>
      <c r="BA73" s="1" t="s">
        <v>580</v>
      </c>
      <c r="BB73" s="1" t="s">
        <v>516</v>
      </c>
      <c r="BC73" s="1" t="s">
        <v>487</v>
      </c>
      <c r="BD73" s="5" t="s">
        <v>581</v>
      </c>
    </row>
    <row r="74" spans="1:56" ht="15.75" customHeight="1">
      <c r="A74" s="1">
        <f t="shared" si="0"/>
        <v>30015</v>
      </c>
      <c r="B74" s="1">
        <v>0</v>
      </c>
      <c r="C74" s="1">
        <v>0</v>
      </c>
      <c r="D74" s="1">
        <v>3</v>
      </c>
      <c r="E74" s="1">
        <f t="shared" si="1"/>
        <v>2</v>
      </c>
      <c r="H74" s="1">
        <v>40</v>
      </c>
      <c r="I74" s="1">
        <v>7.4999999999999997E-2</v>
      </c>
      <c r="K74" s="1">
        <v>13</v>
      </c>
      <c r="Y74" s="1">
        <v>7</v>
      </c>
      <c r="AU74" s="1">
        <v>35</v>
      </c>
      <c r="AV74" s="1" t="s">
        <v>578</v>
      </c>
      <c r="AW74" s="1" t="s">
        <v>517</v>
      </c>
      <c r="AX74" s="1" t="s">
        <v>479</v>
      </c>
      <c r="AY74" s="1" t="s">
        <v>166</v>
      </c>
      <c r="AZ74" s="1" t="s">
        <v>579</v>
      </c>
      <c r="BA74" s="1" t="s">
        <v>580</v>
      </c>
      <c r="BB74" s="1" t="s">
        <v>516</v>
      </c>
      <c r="BC74" s="1" t="s">
        <v>487</v>
      </c>
      <c r="BD74" s="5" t="s">
        <v>581</v>
      </c>
    </row>
    <row r="75" spans="1:56" ht="15.75" customHeight="1">
      <c r="A75" s="1">
        <f t="shared" si="0"/>
        <v>30015</v>
      </c>
      <c r="B75" s="1">
        <v>0</v>
      </c>
      <c r="C75" s="1">
        <v>0</v>
      </c>
      <c r="D75" s="1">
        <v>3</v>
      </c>
      <c r="E75" s="1">
        <f t="shared" si="1"/>
        <v>3</v>
      </c>
      <c r="H75" s="1">
        <v>40</v>
      </c>
      <c r="I75" s="1">
        <v>0.08</v>
      </c>
      <c r="K75" s="1">
        <v>17</v>
      </c>
      <c r="Y75" s="1">
        <v>7</v>
      </c>
      <c r="AU75" s="1">
        <v>35</v>
      </c>
      <c r="AV75" s="1" t="s">
        <v>578</v>
      </c>
      <c r="AW75" s="1" t="s">
        <v>518</v>
      </c>
      <c r="AX75" s="1" t="s">
        <v>479</v>
      </c>
      <c r="AY75" s="1" t="s">
        <v>545</v>
      </c>
      <c r="AZ75" s="1" t="s">
        <v>579</v>
      </c>
      <c r="BA75" s="1" t="s">
        <v>580</v>
      </c>
      <c r="BB75" s="1" t="s">
        <v>516</v>
      </c>
      <c r="BC75" s="1" t="s">
        <v>487</v>
      </c>
      <c r="BD75" s="5" t="s">
        <v>581</v>
      </c>
    </row>
    <row r="76" spans="1:56" ht="15.75" customHeight="1">
      <c r="A76" s="1">
        <f t="shared" si="0"/>
        <v>30015</v>
      </c>
      <c r="B76" s="1">
        <v>0</v>
      </c>
      <c r="C76" s="1">
        <v>0</v>
      </c>
      <c r="D76" s="1">
        <v>3</v>
      </c>
      <c r="E76" s="1">
        <f t="shared" si="1"/>
        <v>4</v>
      </c>
      <c r="H76" s="1">
        <v>40</v>
      </c>
      <c r="I76" s="1">
        <v>8.5000000000000006E-2</v>
      </c>
      <c r="K76" s="1">
        <v>17</v>
      </c>
      <c r="Y76" s="1">
        <v>9</v>
      </c>
      <c r="AU76" s="1">
        <v>40</v>
      </c>
      <c r="AV76" s="1" t="s">
        <v>578</v>
      </c>
      <c r="AW76" s="1" t="s">
        <v>520</v>
      </c>
      <c r="AX76" s="1" t="s">
        <v>479</v>
      </c>
      <c r="AY76" s="1" t="s">
        <v>545</v>
      </c>
      <c r="AZ76" s="1" t="s">
        <v>582</v>
      </c>
      <c r="BA76" s="1" t="s">
        <v>580</v>
      </c>
      <c r="BB76" s="1" t="s">
        <v>522</v>
      </c>
      <c r="BC76" s="1" t="s">
        <v>487</v>
      </c>
      <c r="BD76" s="5" t="s">
        <v>581</v>
      </c>
    </row>
    <row r="77" spans="1:56" ht="15.75" customHeight="1">
      <c r="A77" s="1">
        <f t="shared" si="0"/>
        <v>30016</v>
      </c>
      <c r="B77" s="1">
        <v>1</v>
      </c>
      <c r="C77" s="1">
        <v>0</v>
      </c>
      <c r="D77" s="1">
        <v>3</v>
      </c>
      <c r="E77" s="1">
        <f t="shared" si="1"/>
        <v>0</v>
      </c>
      <c r="I77" s="1">
        <v>6.5000000000000002E-2</v>
      </c>
      <c r="N77" s="1">
        <v>17</v>
      </c>
      <c r="Q77" s="1">
        <v>11</v>
      </c>
      <c r="R77" s="1"/>
      <c r="AU77" s="1">
        <v>30</v>
      </c>
      <c r="AV77" s="1" t="s">
        <v>583</v>
      </c>
      <c r="AW77" s="1" t="s">
        <v>497</v>
      </c>
      <c r="AX77" s="1" t="s">
        <v>232</v>
      </c>
      <c r="AY77" s="1" t="s">
        <v>264</v>
      </c>
      <c r="AZ77" s="1" t="s">
        <v>584</v>
      </c>
      <c r="BA77" s="1" t="s">
        <v>585</v>
      </c>
      <c r="BB77" s="1" t="s">
        <v>214</v>
      </c>
      <c r="BC77" s="1" t="s">
        <v>487</v>
      </c>
      <c r="BD77" s="5" t="s">
        <v>586</v>
      </c>
    </row>
    <row r="78" spans="1:56" ht="15.75" customHeight="1">
      <c r="A78" s="1">
        <f t="shared" si="0"/>
        <v>30016</v>
      </c>
      <c r="B78" s="1">
        <v>1</v>
      </c>
      <c r="C78" s="1">
        <v>0</v>
      </c>
      <c r="D78" s="1">
        <v>3</v>
      </c>
      <c r="E78" s="1">
        <f t="shared" si="1"/>
        <v>1</v>
      </c>
      <c r="I78" s="1">
        <v>7.0000000000000007E-2</v>
      </c>
      <c r="N78" s="1">
        <v>17</v>
      </c>
      <c r="Q78" s="1">
        <v>11</v>
      </c>
      <c r="R78" s="1"/>
      <c r="AU78" s="1">
        <v>35</v>
      </c>
      <c r="AV78" s="1" t="s">
        <v>583</v>
      </c>
      <c r="AW78" s="1" t="s">
        <v>502</v>
      </c>
      <c r="AX78" s="1" t="s">
        <v>232</v>
      </c>
      <c r="AY78" s="1" t="s">
        <v>264</v>
      </c>
      <c r="AZ78" s="1" t="s">
        <v>584</v>
      </c>
      <c r="BA78" s="1" t="s">
        <v>585</v>
      </c>
      <c r="BB78" s="1" t="s">
        <v>503</v>
      </c>
      <c r="BC78" s="1" t="s">
        <v>487</v>
      </c>
      <c r="BD78" s="5" t="s">
        <v>586</v>
      </c>
    </row>
    <row r="79" spans="1:56" ht="15.75" customHeight="1">
      <c r="A79" s="1">
        <f t="shared" si="0"/>
        <v>30016</v>
      </c>
      <c r="B79" s="1">
        <v>1</v>
      </c>
      <c r="C79" s="1">
        <v>0</v>
      </c>
      <c r="D79" s="1">
        <v>3</v>
      </c>
      <c r="E79" s="1">
        <f t="shared" si="1"/>
        <v>2</v>
      </c>
      <c r="I79" s="1">
        <v>7.4999999999999997E-2</v>
      </c>
      <c r="N79" s="1">
        <v>17</v>
      </c>
      <c r="Q79" s="1">
        <v>11</v>
      </c>
      <c r="R79" s="1"/>
      <c r="AU79" s="1">
        <v>35</v>
      </c>
      <c r="AV79" s="1" t="s">
        <v>583</v>
      </c>
      <c r="AW79" s="1" t="s">
        <v>504</v>
      </c>
      <c r="AX79" s="1" t="s">
        <v>505</v>
      </c>
      <c r="AY79" s="1" t="s">
        <v>264</v>
      </c>
      <c r="AZ79" s="1" t="s">
        <v>584</v>
      </c>
      <c r="BA79" s="1" t="s">
        <v>585</v>
      </c>
      <c r="BB79" s="1" t="s">
        <v>503</v>
      </c>
      <c r="BC79" s="1" t="s">
        <v>487</v>
      </c>
      <c r="BD79" s="5" t="s">
        <v>586</v>
      </c>
    </row>
    <row r="80" spans="1:56" ht="15.75" customHeight="1">
      <c r="A80" s="1">
        <f t="shared" si="0"/>
        <v>30016</v>
      </c>
      <c r="B80" s="1">
        <v>1</v>
      </c>
      <c r="C80" s="1">
        <v>0</v>
      </c>
      <c r="D80" s="1">
        <v>3</v>
      </c>
      <c r="E80" s="1">
        <f t="shared" si="1"/>
        <v>3</v>
      </c>
      <c r="I80" s="1">
        <v>0.08</v>
      </c>
      <c r="N80" s="1">
        <v>22</v>
      </c>
      <c r="Q80" s="1">
        <v>11</v>
      </c>
      <c r="R80" s="1"/>
      <c r="AU80" s="1">
        <v>35</v>
      </c>
      <c r="AV80" s="1" t="s">
        <v>583</v>
      </c>
      <c r="AW80" s="1" t="s">
        <v>506</v>
      </c>
      <c r="AX80" s="1" t="s">
        <v>505</v>
      </c>
      <c r="AY80" s="1" t="s">
        <v>587</v>
      </c>
      <c r="AZ80" s="1" t="s">
        <v>584</v>
      </c>
      <c r="BA80" s="1" t="s">
        <v>585</v>
      </c>
      <c r="BB80" s="1" t="s">
        <v>503</v>
      </c>
      <c r="BC80" s="1" t="s">
        <v>487</v>
      </c>
      <c r="BD80" s="5" t="s">
        <v>586</v>
      </c>
    </row>
    <row r="81" spans="1:57" ht="15.75" customHeight="1">
      <c r="A81" s="1">
        <f t="shared" si="0"/>
        <v>30016</v>
      </c>
      <c r="B81" s="1">
        <v>1</v>
      </c>
      <c r="C81" s="1">
        <v>0</v>
      </c>
      <c r="D81" s="1">
        <v>3</v>
      </c>
      <c r="E81" s="1">
        <f t="shared" si="1"/>
        <v>4</v>
      </c>
      <c r="I81" s="1">
        <v>8.5000000000000006E-2</v>
      </c>
      <c r="N81" s="1">
        <v>22</v>
      </c>
      <c r="Q81" s="1">
        <v>15</v>
      </c>
      <c r="R81" s="1"/>
      <c r="AU81" s="1">
        <v>40</v>
      </c>
      <c r="AV81" s="1" t="s">
        <v>583</v>
      </c>
      <c r="AW81" s="1" t="s">
        <v>508</v>
      </c>
      <c r="AX81" s="1" t="s">
        <v>505</v>
      </c>
      <c r="AY81" s="1" t="s">
        <v>587</v>
      </c>
      <c r="AZ81" s="1" t="s">
        <v>588</v>
      </c>
      <c r="BA81" s="1" t="s">
        <v>585</v>
      </c>
      <c r="BB81" s="1" t="s">
        <v>510</v>
      </c>
      <c r="BC81" s="1" t="s">
        <v>487</v>
      </c>
      <c r="BD81" s="5" t="s">
        <v>586</v>
      </c>
    </row>
    <row r="82" spans="1:57" ht="15.75" customHeight="1">
      <c r="A82" s="1">
        <f t="shared" si="0"/>
        <v>30017</v>
      </c>
      <c r="B82" s="1">
        <v>2</v>
      </c>
      <c r="C82" s="1">
        <v>2</v>
      </c>
      <c r="D82" s="1">
        <v>3</v>
      </c>
      <c r="E82" s="1">
        <f t="shared" si="1"/>
        <v>0</v>
      </c>
      <c r="F82" s="1">
        <v>21</v>
      </c>
      <c r="G82" s="1">
        <v>52</v>
      </c>
      <c r="J82" s="1">
        <v>4</v>
      </c>
      <c r="AB82" s="1">
        <v>2</v>
      </c>
      <c r="AU82" s="1">
        <v>30</v>
      </c>
      <c r="AV82" s="1" t="s">
        <v>589</v>
      </c>
      <c r="AW82" s="1" t="s">
        <v>944</v>
      </c>
      <c r="AX82" s="1" t="s">
        <v>146</v>
      </c>
      <c r="AY82" s="1" t="s">
        <v>193</v>
      </c>
      <c r="AZ82" s="1" t="s">
        <v>529</v>
      </c>
      <c r="BA82" s="1" t="s">
        <v>590</v>
      </c>
      <c r="BB82" s="1" t="s">
        <v>152</v>
      </c>
      <c r="BC82" s="1" t="s">
        <v>487</v>
      </c>
      <c r="BD82" s="5" t="s">
        <v>591</v>
      </c>
      <c r="BE82" s="5"/>
    </row>
    <row r="83" spans="1:57" ht="15.75" customHeight="1">
      <c r="A83" s="1">
        <f t="shared" si="0"/>
        <v>30017</v>
      </c>
      <c r="B83" s="1">
        <v>2</v>
      </c>
      <c r="C83" s="1">
        <v>2</v>
      </c>
      <c r="D83" s="1">
        <v>3</v>
      </c>
      <c r="E83" s="1">
        <f t="shared" si="1"/>
        <v>1</v>
      </c>
      <c r="F83" s="1">
        <v>21</v>
      </c>
      <c r="G83" s="1">
        <v>55</v>
      </c>
      <c r="J83" s="1">
        <v>4</v>
      </c>
      <c r="AB83" s="1">
        <v>2</v>
      </c>
      <c r="AU83" s="1">
        <v>35</v>
      </c>
      <c r="AV83" s="1" t="s">
        <v>589</v>
      </c>
      <c r="AW83" s="1" t="s">
        <v>947</v>
      </c>
      <c r="AX83" s="1" t="s">
        <v>146</v>
      </c>
      <c r="AY83" s="1" t="s">
        <v>193</v>
      </c>
      <c r="AZ83" s="1" t="s">
        <v>529</v>
      </c>
      <c r="BA83" s="1" t="s">
        <v>590</v>
      </c>
      <c r="BB83" s="1" t="s">
        <v>478</v>
      </c>
      <c r="BC83" s="1" t="s">
        <v>487</v>
      </c>
      <c r="BD83" s="5" t="s">
        <v>591</v>
      </c>
    </row>
    <row r="84" spans="1:57" ht="15.75" customHeight="1">
      <c r="A84" s="1">
        <f t="shared" si="0"/>
        <v>30017</v>
      </c>
      <c r="B84" s="1">
        <v>2</v>
      </c>
      <c r="C84" s="1">
        <v>2</v>
      </c>
      <c r="D84" s="1">
        <v>3</v>
      </c>
      <c r="E84" s="1">
        <f t="shared" si="1"/>
        <v>2</v>
      </c>
      <c r="F84" s="1">
        <v>28</v>
      </c>
      <c r="G84" s="1">
        <v>59</v>
      </c>
      <c r="J84" s="1">
        <v>4</v>
      </c>
      <c r="AB84" s="1">
        <v>2</v>
      </c>
      <c r="AU84" s="1">
        <v>35</v>
      </c>
      <c r="AV84" s="1" t="s">
        <v>589</v>
      </c>
      <c r="AW84" s="1" t="s">
        <v>950</v>
      </c>
      <c r="AX84" s="1" t="s">
        <v>532</v>
      </c>
      <c r="AY84" s="1" t="s">
        <v>193</v>
      </c>
      <c r="AZ84" s="1" t="s">
        <v>529</v>
      </c>
      <c r="BA84" s="1" t="s">
        <v>590</v>
      </c>
      <c r="BB84" s="1" t="s">
        <v>478</v>
      </c>
      <c r="BC84" s="1" t="s">
        <v>487</v>
      </c>
      <c r="BD84" s="5" t="s">
        <v>591</v>
      </c>
    </row>
    <row r="85" spans="1:57" ht="15.75" customHeight="1">
      <c r="A85" s="1">
        <f t="shared" si="0"/>
        <v>30017</v>
      </c>
      <c r="B85" s="1">
        <v>2</v>
      </c>
      <c r="C85" s="1">
        <v>2</v>
      </c>
      <c r="D85" s="1">
        <v>3</v>
      </c>
      <c r="E85" s="1">
        <f t="shared" si="1"/>
        <v>3</v>
      </c>
      <c r="F85" s="1">
        <v>28</v>
      </c>
      <c r="G85" s="1">
        <v>62</v>
      </c>
      <c r="J85" s="1">
        <v>6</v>
      </c>
      <c r="AB85" s="1">
        <v>2</v>
      </c>
      <c r="AU85" s="1">
        <v>35</v>
      </c>
      <c r="AV85" s="1" t="s">
        <v>589</v>
      </c>
      <c r="AW85" s="1" t="s">
        <v>953</v>
      </c>
      <c r="AX85" s="1" t="s">
        <v>532</v>
      </c>
      <c r="AY85" s="1" t="s">
        <v>480</v>
      </c>
      <c r="AZ85" s="1" t="s">
        <v>529</v>
      </c>
      <c r="BA85" s="1" t="s">
        <v>590</v>
      </c>
      <c r="BB85" s="1" t="s">
        <v>478</v>
      </c>
      <c r="BC85" s="1" t="s">
        <v>487</v>
      </c>
      <c r="BD85" s="5" t="s">
        <v>591</v>
      </c>
    </row>
    <row r="86" spans="1:57" ht="15.75" customHeight="1">
      <c r="A86" s="1">
        <f t="shared" si="0"/>
        <v>30017</v>
      </c>
      <c r="B86" s="1">
        <v>2</v>
      </c>
      <c r="C86" s="1">
        <v>2</v>
      </c>
      <c r="D86" s="1">
        <v>3</v>
      </c>
      <c r="E86" s="1">
        <f t="shared" si="1"/>
        <v>4</v>
      </c>
      <c r="F86" s="1">
        <v>28</v>
      </c>
      <c r="G86" s="1">
        <v>65</v>
      </c>
      <c r="J86" s="1">
        <v>6</v>
      </c>
      <c r="AB86" s="1">
        <v>3</v>
      </c>
      <c r="AU86" s="1">
        <v>40</v>
      </c>
      <c r="AV86" s="1" t="s">
        <v>589</v>
      </c>
      <c r="AW86" s="1" t="s">
        <v>956</v>
      </c>
      <c r="AX86" s="1" t="s">
        <v>532</v>
      </c>
      <c r="AY86" s="1" t="s">
        <v>480</v>
      </c>
      <c r="AZ86" s="1" t="s">
        <v>533</v>
      </c>
      <c r="BA86" s="1" t="s">
        <v>590</v>
      </c>
      <c r="BB86" s="1" t="s">
        <v>482</v>
      </c>
      <c r="BC86" s="1" t="s">
        <v>487</v>
      </c>
      <c r="BD86" s="5" t="s">
        <v>591</v>
      </c>
    </row>
    <row r="87" spans="1:57" ht="15.75" customHeight="1">
      <c r="A87" s="1">
        <f t="shared" si="0"/>
        <v>30018</v>
      </c>
      <c r="B87" s="1">
        <v>0</v>
      </c>
      <c r="C87" s="1">
        <v>1</v>
      </c>
      <c r="D87" s="1">
        <v>3</v>
      </c>
      <c r="E87" s="1">
        <f t="shared" si="1"/>
        <v>0</v>
      </c>
      <c r="H87" s="1">
        <v>30</v>
      </c>
      <c r="I87" s="1">
        <v>6.5000000000000002E-2</v>
      </c>
      <c r="K87" s="1">
        <v>13</v>
      </c>
      <c r="AQ87" s="1">
        <v>8</v>
      </c>
      <c r="AU87" s="1">
        <v>30</v>
      </c>
      <c r="AV87" s="1" t="s">
        <v>592</v>
      </c>
      <c r="AW87" s="1" t="s">
        <v>512</v>
      </c>
      <c r="AX87" s="1" t="s">
        <v>182</v>
      </c>
      <c r="AY87" s="1" t="s">
        <v>166</v>
      </c>
      <c r="AZ87" s="1" t="s">
        <v>288</v>
      </c>
      <c r="BA87" s="1" t="s">
        <v>593</v>
      </c>
      <c r="BB87" s="1" t="s">
        <v>167</v>
      </c>
      <c r="BC87" s="1" t="s">
        <v>487</v>
      </c>
      <c r="BD87" s="5" t="s">
        <v>594</v>
      </c>
    </row>
    <row r="88" spans="1:57" ht="15.75" customHeight="1">
      <c r="A88" s="1">
        <f t="shared" si="0"/>
        <v>30018</v>
      </c>
      <c r="B88" s="1">
        <v>0</v>
      </c>
      <c r="C88" s="1">
        <v>1</v>
      </c>
      <c r="D88" s="1">
        <v>3</v>
      </c>
      <c r="E88" s="1">
        <f t="shared" si="1"/>
        <v>1</v>
      </c>
      <c r="H88" s="1">
        <v>30</v>
      </c>
      <c r="I88" s="1">
        <v>7.0000000000000007E-2</v>
      </c>
      <c r="K88" s="1">
        <v>13</v>
      </c>
      <c r="AQ88" s="1">
        <v>8</v>
      </c>
      <c r="AU88" s="1">
        <v>35</v>
      </c>
      <c r="AV88" s="1" t="s">
        <v>592</v>
      </c>
      <c r="AW88" s="1" t="s">
        <v>515</v>
      </c>
      <c r="AX88" s="1" t="s">
        <v>182</v>
      </c>
      <c r="AY88" s="1" t="s">
        <v>166</v>
      </c>
      <c r="AZ88" s="1" t="s">
        <v>288</v>
      </c>
      <c r="BA88" s="1" t="s">
        <v>593</v>
      </c>
      <c r="BB88" s="1" t="s">
        <v>516</v>
      </c>
      <c r="BC88" s="1" t="s">
        <v>487</v>
      </c>
      <c r="BD88" s="5" t="s">
        <v>594</v>
      </c>
    </row>
    <row r="89" spans="1:57" ht="15.75" customHeight="1">
      <c r="A89" s="1">
        <f t="shared" si="0"/>
        <v>30018</v>
      </c>
      <c r="B89" s="1">
        <v>0</v>
      </c>
      <c r="C89" s="1">
        <v>1</v>
      </c>
      <c r="D89" s="1">
        <v>3</v>
      </c>
      <c r="E89" s="1">
        <f t="shared" si="1"/>
        <v>2</v>
      </c>
      <c r="H89" s="1">
        <v>40</v>
      </c>
      <c r="I89" s="1">
        <v>7.4999999999999997E-2</v>
      </c>
      <c r="K89" s="1">
        <v>13</v>
      </c>
      <c r="AQ89" s="1">
        <v>8</v>
      </c>
      <c r="AU89" s="1">
        <v>35</v>
      </c>
      <c r="AV89" s="1" t="s">
        <v>592</v>
      </c>
      <c r="AW89" s="1" t="s">
        <v>517</v>
      </c>
      <c r="AX89" s="1" t="s">
        <v>479</v>
      </c>
      <c r="AY89" s="1" t="s">
        <v>166</v>
      </c>
      <c r="AZ89" s="1" t="s">
        <v>288</v>
      </c>
      <c r="BA89" s="1" t="s">
        <v>593</v>
      </c>
      <c r="BB89" s="1" t="s">
        <v>516</v>
      </c>
      <c r="BC89" s="1" t="s">
        <v>487</v>
      </c>
      <c r="BD89" s="5" t="s">
        <v>594</v>
      </c>
    </row>
    <row r="90" spans="1:57" ht="15.75" customHeight="1">
      <c r="A90" s="1">
        <f t="shared" si="0"/>
        <v>30018</v>
      </c>
      <c r="B90" s="1">
        <v>0</v>
      </c>
      <c r="C90" s="1">
        <v>1</v>
      </c>
      <c r="D90" s="1">
        <v>3</v>
      </c>
      <c r="E90" s="1">
        <f t="shared" si="1"/>
        <v>3</v>
      </c>
      <c r="H90" s="1">
        <v>40</v>
      </c>
      <c r="I90" s="1">
        <v>0.08</v>
      </c>
      <c r="K90" s="1">
        <v>17</v>
      </c>
      <c r="AQ90" s="1">
        <v>8</v>
      </c>
      <c r="AU90" s="1">
        <v>35</v>
      </c>
      <c r="AV90" s="1" t="s">
        <v>592</v>
      </c>
      <c r="AW90" s="1" t="s">
        <v>518</v>
      </c>
      <c r="AX90" s="1" t="s">
        <v>479</v>
      </c>
      <c r="AY90" s="1" t="s">
        <v>545</v>
      </c>
      <c r="AZ90" s="1" t="s">
        <v>288</v>
      </c>
      <c r="BA90" s="1" t="s">
        <v>593</v>
      </c>
      <c r="BB90" s="1" t="s">
        <v>516</v>
      </c>
      <c r="BC90" s="1" t="s">
        <v>487</v>
      </c>
      <c r="BD90" s="5" t="s">
        <v>594</v>
      </c>
    </row>
    <row r="91" spans="1:57" ht="15.75" customHeight="1">
      <c r="A91" s="1">
        <f t="shared" si="0"/>
        <v>30018</v>
      </c>
      <c r="B91" s="1">
        <v>0</v>
      </c>
      <c r="C91" s="1">
        <v>1</v>
      </c>
      <c r="D91" s="1">
        <v>3</v>
      </c>
      <c r="E91" s="1">
        <f t="shared" si="1"/>
        <v>4</v>
      </c>
      <c r="H91" s="1">
        <v>40</v>
      </c>
      <c r="I91" s="1">
        <v>8.5000000000000006E-2</v>
      </c>
      <c r="K91" s="1">
        <v>17</v>
      </c>
      <c r="AQ91" s="1">
        <v>11</v>
      </c>
      <c r="AU91" s="1">
        <v>40</v>
      </c>
      <c r="AV91" s="1" t="s">
        <v>592</v>
      </c>
      <c r="AW91" s="1" t="s">
        <v>520</v>
      </c>
      <c r="AX91" s="1" t="s">
        <v>479</v>
      </c>
      <c r="AY91" s="1" t="s">
        <v>545</v>
      </c>
      <c r="AZ91" s="1" t="s">
        <v>595</v>
      </c>
      <c r="BA91" s="1" t="s">
        <v>593</v>
      </c>
      <c r="BB91" s="1" t="s">
        <v>522</v>
      </c>
      <c r="BC91" s="1" t="s">
        <v>487</v>
      </c>
      <c r="BD91" s="5" t="s">
        <v>594</v>
      </c>
    </row>
    <row r="92" spans="1:57" ht="15.75" customHeight="1">
      <c r="A92" s="1">
        <f t="shared" si="0"/>
        <v>30019</v>
      </c>
      <c r="B92" s="1">
        <v>1</v>
      </c>
      <c r="C92" s="1">
        <v>1</v>
      </c>
      <c r="D92" s="1">
        <v>3</v>
      </c>
      <c r="E92" s="1">
        <f t="shared" si="1"/>
        <v>0</v>
      </c>
      <c r="F92" s="1">
        <v>21</v>
      </c>
      <c r="G92" s="1">
        <v>52</v>
      </c>
      <c r="K92" s="1">
        <v>13</v>
      </c>
      <c r="AC92" s="1">
        <v>2</v>
      </c>
      <c r="AU92" s="1">
        <v>30</v>
      </c>
      <c r="AV92" s="1" t="s">
        <v>596</v>
      </c>
      <c r="AW92" s="1" t="s">
        <v>945</v>
      </c>
      <c r="AX92" s="1" t="s">
        <v>220</v>
      </c>
      <c r="AY92" s="1" t="s">
        <v>221</v>
      </c>
      <c r="AZ92" s="1" t="s">
        <v>571</v>
      </c>
      <c r="BA92" s="1" t="s">
        <v>597</v>
      </c>
      <c r="BB92" s="1" t="s">
        <v>214</v>
      </c>
      <c r="BC92" s="1" t="s">
        <v>487</v>
      </c>
      <c r="BD92" s="1" t="s">
        <v>598</v>
      </c>
    </row>
    <row r="93" spans="1:57" ht="15.75" customHeight="1">
      <c r="A93" s="1">
        <f t="shared" si="0"/>
        <v>30019</v>
      </c>
      <c r="B93" s="1">
        <v>1</v>
      </c>
      <c r="C93" s="1">
        <v>1</v>
      </c>
      <c r="D93" s="1">
        <v>3</v>
      </c>
      <c r="E93" s="1">
        <f t="shared" si="1"/>
        <v>1</v>
      </c>
      <c r="F93" s="1">
        <v>21</v>
      </c>
      <c r="G93" s="1">
        <v>55</v>
      </c>
      <c r="K93" s="1">
        <v>13</v>
      </c>
      <c r="AC93" s="1">
        <v>2</v>
      </c>
      <c r="AU93" s="1">
        <v>35</v>
      </c>
      <c r="AV93" s="1" t="s">
        <v>596</v>
      </c>
      <c r="AW93" s="1" t="s">
        <v>948</v>
      </c>
      <c r="AX93" s="1" t="s">
        <v>220</v>
      </c>
      <c r="AY93" s="1" t="s">
        <v>221</v>
      </c>
      <c r="AZ93" s="1" t="s">
        <v>571</v>
      </c>
      <c r="BA93" s="1" t="s">
        <v>597</v>
      </c>
      <c r="BB93" s="1" t="s">
        <v>503</v>
      </c>
      <c r="BC93" s="1" t="s">
        <v>487</v>
      </c>
      <c r="BD93" s="1" t="s">
        <v>598</v>
      </c>
    </row>
    <row r="94" spans="1:57" ht="15.75" customHeight="1">
      <c r="A94" s="1">
        <f t="shared" si="0"/>
        <v>30019</v>
      </c>
      <c r="B94" s="1">
        <v>1</v>
      </c>
      <c r="C94" s="1">
        <v>1</v>
      </c>
      <c r="D94" s="1">
        <v>3</v>
      </c>
      <c r="E94" s="1">
        <f t="shared" si="1"/>
        <v>2</v>
      </c>
      <c r="F94" s="1">
        <v>28</v>
      </c>
      <c r="G94" s="1">
        <v>59</v>
      </c>
      <c r="K94" s="1">
        <v>13</v>
      </c>
      <c r="AC94" s="1">
        <v>2</v>
      </c>
      <c r="AU94" s="1">
        <v>35</v>
      </c>
      <c r="AV94" s="1" t="s">
        <v>596</v>
      </c>
      <c r="AW94" s="1" t="s">
        <v>951</v>
      </c>
      <c r="AX94" s="1" t="s">
        <v>537</v>
      </c>
      <c r="AY94" s="1" t="s">
        <v>221</v>
      </c>
      <c r="AZ94" s="1" t="s">
        <v>571</v>
      </c>
      <c r="BA94" s="1" t="s">
        <v>597</v>
      </c>
      <c r="BB94" s="1" t="s">
        <v>503</v>
      </c>
      <c r="BC94" s="1" t="s">
        <v>487</v>
      </c>
      <c r="BD94" s="1" t="s">
        <v>598</v>
      </c>
    </row>
    <row r="95" spans="1:57" ht="15.75" customHeight="1">
      <c r="A95" s="1">
        <f t="shared" si="0"/>
        <v>30019</v>
      </c>
      <c r="B95" s="1">
        <v>1</v>
      </c>
      <c r="C95" s="1">
        <v>1</v>
      </c>
      <c r="D95" s="1">
        <v>3</v>
      </c>
      <c r="E95" s="1">
        <f t="shared" si="1"/>
        <v>3</v>
      </c>
      <c r="F95" s="1">
        <v>28</v>
      </c>
      <c r="G95" s="1">
        <v>62</v>
      </c>
      <c r="K95" s="1">
        <v>17</v>
      </c>
      <c r="AC95" s="1">
        <v>2</v>
      </c>
      <c r="AU95" s="1">
        <v>35</v>
      </c>
      <c r="AV95" s="1" t="s">
        <v>596</v>
      </c>
      <c r="AW95" s="1" t="s">
        <v>954</v>
      </c>
      <c r="AX95" s="1" t="s">
        <v>537</v>
      </c>
      <c r="AY95" s="1" t="s">
        <v>538</v>
      </c>
      <c r="AZ95" s="1" t="s">
        <v>571</v>
      </c>
      <c r="BA95" s="1" t="s">
        <v>597</v>
      </c>
      <c r="BB95" s="1" t="s">
        <v>503</v>
      </c>
      <c r="BC95" s="1" t="s">
        <v>487</v>
      </c>
      <c r="BD95" s="1" t="s">
        <v>598</v>
      </c>
    </row>
    <row r="96" spans="1:57" ht="15.75" customHeight="1">
      <c r="A96" s="1">
        <f t="shared" si="0"/>
        <v>30019</v>
      </c>
      <c r="B96" s="1">
        <v>1</v>
      </c>
      <c r="C96" s="1">
        <v>1</v>
      </c>
      <c r="D96" s="1">
        <v>3</v>
      </c>
      <c r="E96" s="1">
        <f t="shared" si="1"/>
        <v>4</v>
      </c>
      <c r="F96" s="1">
        <v>28</v>
      </c>
      <c r="G96" s="1">
        <v>65</v>
      </c>
      <c r="K96" s="1">
        <v>17</v>
      </c>
      <c r="AC96" s="1">
        <v>3</v>
      </c>
      <c r="AU96" s="1">
        <v>40</v>
      </c>
      <c r="AV96" s="1" t="s">
        <v>596</v>
      </c>
      <c r="AW96" s="1" t="s">
        <v>957</v>
      </c>
      <c r="AX96" s="1" t="s">
        <v>537</v>
      </c>
      <c r="AY96" s="1" t="s">
        <v>538</v>
      </c>
      <c r="AZ96" s="1" t="s">
        <v>574</v>
      </c>
      <c r="BA96" s="1" t="s">
        <v>597</v>
      </c>
      <c r="BB96" s="1" t="s">
        <v>510</v>
      </c>
      <c r="BC96" s="1" t="s">
        <v>487</v>
      </c>
      <c r="BD96" s="1" t="s">
        <v>598</v>
      </c>
    </row>
    <row r="97" spans="1:56" ht="15.75" customHeight="1">
      <c r="A97" s="1">
        <f t="shared" si="0"/>
        <v>30020</v>
      </c>
      <c r="B97" s="1">
        <v>2</v>
      </c>
      <c r="C97" s="1">
        <v>2</v>
      </c>
      <c r="D97" s="1">
        <v>3</v>
      </c>
      <c r="E97" s="1">
        <f t="shared" si="1"/>
        <v>0</v>
      </c>
      <c r="G97" s="1">
        <v>52</v>
      </c>
      <c r="K97" s="1">
        <v>13</v>
      </c>
      <c r="AQ97" s="1">
        <v>8</v>
      </c>
      <c r="AU97" s="1">
        <v>30</v>
      </c>
      <c r="AV97" s="1" t="s">
        <v>599</v>
      </c>
      <c r="AW97" s="1" t="s">
        <v>944</v>
      </c>
      <c r="AX97" s="1" t="s">
        <v>191</v>
      </c>
      <c r="AY97" s="1" t="s">
        <v>151</v>
      </c>
      <c r="AZ97" s="1" t="s">
        <v>600</v>
      </c>
      <c r="BA97" s="1" t="s">
        <v>601</v>
      </c>
      <c r="BB97" s="1" t="s">
        <v>152</v>
      </c>
      <c r="BC97" s="1" t="s">
        <v>487</v>
      </c>
      <c r="BD97" s="5" t="s">
        <v>602</v>
      </c>
    </row>
    <row r="98" spans="1:56" ht="15.75" customHeight="1">
      <c r="A98" s="1">
        <f t="shared" si="0"/>
        <v>30020</v>
      </c>
      <c r="B98" s="1">
        <v>2</v>
      </c>
      <c r="C98" s="1">
        <v>2</v>
      </c>
      <c r="D98" s="1">
        <v>3</v>
      </c>
      <c r="E98" s="1">
        <f t="shared" si="1"/>
        <v>1</v>
      </c>
      <c r="G98" s="1">
        <v>55</v>
      </c>
      <c r="K98" s="1">
        <v>13</v>
      </c>
      <c r="AQ98" s="1">
        <v>8</v>
      </c>
      <c r="AU98" s="1">
        <v>35</v>
      </c>
      <c r="AV98" s="1" t="s">
        <v>599</v>
      </c>
      <c r="AW98" s="1" t="s">
        <v>947</v>
      </c>
      <c r="AX98" s="1" t="s">
        <v>191</v>
      </c>
      <c r="AY98" s="1" t="s">
        <v>151</v>
      </c>
      <c r="AZ98" s="1" t="s">
        <v>600</v>
      </c>
      <c r="BA98" s="1" t="s">
        <v>601</v>
      </c>
      <c r="BB98" s="1" t="s">
        <v>478</v>
      </c>
      <c r="BC98" s="1" t="s">
        <v>487</v>
      </c>
      <c r="BD98" s="5" t="s">
        <v>603</v>
      </c>
    </row>
    <row r="99" spans="1:56" ht="15.75" customHeight="1">
      <c r="A99" s="1">
        <f t="shared" si="0"/>
        <v>30020</v>
      </c>
      <c r="B99" s="1">
        <v>2</v>
      </c>
      <c r="C99" s="1">
        <v>2</v>
      </c>
      <c r="D99" s="1">
        <v>3</v>
      </c>
      <c r="E99" s="1">
        <f t="shared" si="1"/>
        <v>2</v>
      </c>
      <c r="G99" s="1">
        <v>59</v>
      </c>
      <c r="K99" s="1">
        <v>13</v>
      </c>
      <c r="AQ99" s="1">
        <v>8</v>
      </c>
      <c r="AU99" s="1">
        <v>35</v>
      </c>
      <c r="AV99" s="1" t="s">
        <v>599</v>
      </c>
      <c r="AW99" s="1" t="s">
        <v>950</v>
      </c>
      <c r="AX99" s="1" t="s">
        <v>550</v>
      </c>
      <c r="AY99" s="1" t="s">
        <v>151</v>
      </c>
      <c r="AZ99" s="1" t="s">
        <v>600</v>
      </c>
      <c r="BA99" s="1" t="s">
        <v>601</v>
      </c>
      <c r="BB99" s="1" t="s">
        <v>478</v>
      </c>
      <c r="BC99" s="1" t="s">
        <v>487</v>
      </c>
      <c r="BD99" s="5" t="s">
        <v>604</v>
      </c>
    </row>
    <row r="100" spans="1:56" ht="15.75" customHeight="1">
      <c r="A100" s="1">
        <f t="shared" si="0"/>
        <v>30020</v>
      </c>
      <c r="B100" s="1">
        <v>2</v>
      </c>
      <c r="C100" s="1">
        <v>2</v>
      </c>
      <c r="D100" s="1">
        <v>3</v>
      </c>
      <c r="E100" s="1">
        <f t="shared" si="1"/>
        <v>3</v>
      </c>
      <c r="G100" s="1">
        <v>62</v>
      </c>
      <c r="K100" s="1">
        <v>17</v>
      </c>
      <c r="AQ100" s="1">
        <v>8</v>
      </c>
      <c r="AU100" s="1">
        <v>35</v>
      </c>
      <c r="AV100" s="1" t="s">
        <v>599</v>
      </c>
      <c r="AW100" s="1" t="s">
        <v>953</v>
      </c>
      <c r="AX100" s="1" t="s">
        <v>550</v>
      </c>
      <c r="AY100" s="1" t="s">
        <v>493</v>
      </c>
      <c r="AZ100" s="1" t="s">
        <v>600</v>
      </c>
      <c r="BA100" s="1" t="s">
        <v>601</v>
      </c>
      <c r="BB100" s="1" t="s">
        <v>478</v>
      </c>
      <c r="BC100" s="1" t="s">
        <v>487</v>
      </c>
      <c r="BD100" s="5" t="s">
        <v>605</v>
      </c>
    </row>
    <row r="101" spans="1:56" ht="15.75" customHeight="1">
      <c r="A101" s="1">
        <f t="shared" si="0"/>
        <v>30020</v>
      </c>
      <c r="B101" s="1">
        <v>2</v>
      </c>
      <c r="C101" s="1">
        <v>2</v>
      </c>
      <c r="D101" s="1">
        <v>3</v>
      </c>
      <c r="E101" s="1">
        <f t="shared" si="1"/>
        <v>4</v>
      </c>
      <c r="G101" s="1">
        <v>65</v>
      </c>
      <c r="K101" s="1">
        <v>17</v>
      </c>
      <c r="AQ101" s="1">
        <v>11</v>
      </c>
      <c r="AU101" s="1">
        <v>40</v>
      </c>
      <c r="AV101" s="1" t="s">
        <v>599</v>
      </c>
      <c r="AW101" s="1" t="s">
        <v>956</v>
      </c>
      <c r="AX101" s="1" t="s">
        <v>550</v>
      </c>
      <c r="AY101" s="1" t="s">
        <v>493</v>
      </c>
      <c r="AZ101" s="1" t="s">
        <v>606</v>
      </c>
      <c r="BA101" s="1" t="s">
        <v>601</v>
      </c>
      <c r="BB101" s="1" t="s">
        <v>482</v>
      </c>
      <c r="BC101" s="1" t="s">
        <v>487</v>
      </c>
      <c r="BD101" s="5" t="s">
        <v>607</v>
      </c>
    </row>
    <row r="102" spans="1:56" ht="15.75" customHeight="1">
      <c r="A102" s="1">
        <f t="shared" si="0"/>
        <v>30021</v>
      </c>
      <c r="B102" s="1">
        <v>2</v>
      </c>
      <c r="C102" s="1">
        <v>0</v>
      </c>
      <c r="D102" s="1">
        <v>3</v>
      </c>
      <c r="E102" s="1">
        <f t="shared" si="1"/>
        <v>0</v>
      </c>
      <c r="F102" s="1">
        <v>21</v>
      </c>
      <c r="G102" s="1">
        <v>52</v>
      </c>
      <c r="J102" s="1">
        <v>4</v>
      </c>
      <c r="AC102" s="1">
        <v>2</v>
      </c>
      <c r="AU102" s="1">
        <v>30</v>
      </c>
      <c r="AV102" s="1" t="s">
        <v>608</v>
      </c>
      <c r="AW102" s="1" t="s">
        <v>944</v>
      </c>
      <c r="AX102" s="1" t="s">
        <v>146</v>
      </c>
      <c r="AY102" s="1" t="s">
        <v>193</v>
      </c>
      <c r="AZ102" s="1" t="s">
        <v>524</v>
      </c>
      <c r="BA102" s="1" t="s">
        <v>609</v>
      </c>
      <c r="BB102" s="1" t="s">
        <v>152</v>
      </c>
      <c r="BC102" s="1" t="s">
        <v>487</v>
      </c>
      <c r="BD102" s="1" t="s">
        <v>610</v>
      </c>
    </row>
    <row r="103" spans="1:56" ht="15.75" customHeight="1">
      <c r="A103" s="1">
        <f t="shared" si="0"/>
        <v>30021</v>
      </c>
      <c r="B103" s="1">
        <v>2</v>
      </c>
      <c r="C103" s="1">
        <v>0</v>
      </c>
      <c r="D103" s="1">
        <v>3</v>
      </c>
      <c r="E103" s="1">
        <f t="shared" si="1"/>
        <v>1</v>
      </c>
      <c r="F103" s="1">
        <v>21</v>
      </c>
      <c r="G103" s="1">
        <v>55</v>
      </c>
      <c r="J103" s="1">
        <v>4</v>
      </c>
      <c r="AC103" s="1">
        <v>2</v>
      </c>
      <c r="AU103" s="1">
        <v>35</v>
      </c>
      <c r="AV103" s="1" t="s">
        <v>608</v>
      </c>
      <c r="AW103" s="1" t="s">
        <v>947</v>
      </c>
      <c r="AX103" s="1" t="s">
        <v>146</v>
      </c>
      <c r="AY103" s="1" t="s">
        <v>193</v>
      </c>
      <c r="AZ103" s="1" t="s">
        <v>524</v>
      </c>
      <c r="BA103" s="1" t="s">
        <v>609</v>
      </c>
      <c r="BB103" s="1" t="s">
        <v>478</v>
      </c>
      <c r="BC103" s="1" t="s">
        <v>487</v>
      </c>
      <c r="BD103" s="1" t="s">
        <v>610</v>
      </c>
    </row>
    <row r="104" spans="1:56" ht="15.75" customHeight="1">
      <c r="A104" s="1">
        <f t="shared" si="0"/>
        <v>30021</v>
      </c>
      <c r="B104" s="1">
        <v>2</v>
      </c>
      <c r="C104" s="1">
        <v>0</v>
      </c>
      <c r="D104" s="1">
        <v>3</v>
      </c>
      <c r="E104" s="1">
        <f t="shared" si="1"/>
        <v>2</v>
      </c>
      <c r="F104" s="1">
        <v>28</v>
      </c>
      <c r="G104" s="1">
        <v>59</v>
      </c>
      <c r="J104" s="1">
        <v>4</v>
      </c>
      <c r="AC104" s="1">
        <v>2</v>
      </c>
      <c r="AU104" s="1">
        <v>35</v>
      </c>
      <c r="AV104" s="1" t="s">
        <v>608</v>
      </c>
      <c r="AW104" s="1" t="s">
        <v>950</v>
      </c>
      <c r="AX104" s="1" t="s">
        <v>532</v>
      </c>
      <c r="AY104" s="1" t="s">
        <v>193</v>
      </c>
      <c r="AZ104" s="1" t="s">
        <v>524</v>
      </c>
      <c r="BA104" s="1" t="s">
        <v>609</v>
      </c>
      <c r="BB104" s="1" t="s">
        <v>478</v>
      </c>
      <c r="BC104" s="1" t="s">
        <v>487</v>
      </c>
      <c r="BD104" s="1" t="s">
        <v>610</v>
      </c>
    </row>
    <row r="105" spans="1:56" ht="15.75" customHeight="1">
      <c r="A105" s="1">
        <f t="shared" si="0"/>
        <v>30021</v>
      </c>
      <c r="B105" s="1">
        <v>2</v>
      </c>
      <c r="C105" s="1">
        <v>0</v>
      </c>
      <c r="D105" s="1">
        <v>3</v>
      </c>
      <c r="E105" s="1">
        <f t="shared" si="1"/>
        <v>3</v>
      </c>
      <c r="F105" s="1">
        <v>28</v>
      </c>
      <c r="G105" s="1">
        <v>62</v>
      </c>
      <c r="J105" s="1">
        <v>6</v>
      </c>
      <c r="AC105" s="1">
        <v>2</v>
      </c>
      <c r="AU105" s="1">
        <v>35</v>
      </c>
      <c r="AV105" s="1" t="s">
        <v>608</v>
      </c>
      <c r="AW105" s="1" t="s">
        <v>953</v>
      </c>
      <c r="AX105" s="1" t="s">
        <v>532</v>
      </c>
      <c r="AY105" s="1" t="s">
        <v>480</v>
      </c>
      <c r="AZ105" s="1" t="s">
        <v>524</v>
      </c>
      <c r="BA105" s="1" t="s">
        <v>609</v>
      </c>
      <c r="BB105" s="1" t="s">
        <v>478</v>
      </c>
      <c r="BC105" s="1" t="s">
        <v>487</v>
      </c>
      <c r="BD105" s="1" t="s">
        <v>610</v>
      </c>
    </row>
    <row r="106" spans="1:56" ht="15.75" customHeight="1">
      <c r="A106" s="1">
        <f t="shared" si="0"/>
        <v>30021</v>
      </c>
      <c r="B106" s="1">
        <v>2</v>
      </c>
      <c r="C106" s="1">
        <v>0</v>
      </c>
      <c r="D106" s="1">
        <v>3</v>
      </c>
      <c r="E106" s="1">
        <f t="shared" si="1"/>
        <v>4</v>
      </c>
      <c r="F106" s="1">
        <v>28</v>
      </c>
      <c r="G106" s="1">
        <v>65</v>
      </c>
      <c r="J106" s="1">
        <v>6</v>
      </c>
      <c r="AC106" s="1">
        <v>3</v>
      </c>
      <c r="AU106" s="1">
        <v>40</v>
      </c>
      <c r="AV106" s="1" t="s">
        <v>608</v>
      </c>
      <c r="AW106" s="1" t="s">
        <v>956</v>
      </c>
      <c r="AX106" s="1" t="s">
        <v>532</v>
      </c>
      <c r="AY106" s="1" t="s">
        <v>480</v>
      </c>
      <c r="AZ106" s="1" t="s">
        <v>527</v>
      </c>
      <c r="BA106" s="1" t="s">
        <v>609</v>
      </c>
      <c r="BB106" s="1" t="s">
        <v>482</v>
      </c>
      <c r="BC106" s="1" t="s">
        <v>487</v>
      </c>
      <c r="BD106" s="1" t="s">
        <v>610</v>
      </c>
    </row>
    <row r="107" spans="1:56" ht="15.75" customHeight="1">
      <c r="A107" s="1">
        <f t="shared" si="0"/>
        <v>30022</v>
      </c>
      <c r="B107" s="1">
        <v>0</v>
      </c>
      <c r="C107" s="1">
        <v>0</v>
      </c>
      <c r="D107" s="1">
        <v>3</v>
      </c>
      <c r="E107" s="1">
        <f t="shared" si="1"/>
        <v>0</v>
      </c>
      <c r="I107" s="1">
        <v>6.5000000000000002E-2</v>
      </c>
      <c r="K107" s="1">
        <v>13</v>
      </c>
      <c r="U107" s="1">
        <v>5</v>
      </c>
      <c r="W107" s="1">
        <v>3</v>
      </c>
      <c r="AU107" s="1">
        <v>30</v>
      </c>
      <c r="AV107" s="1" t="s">
        <v>611</v>
      </c>
      <c r="AW107" s="1" t="s">
        <v>512</v>
      </c>
      <c r="AX107" s="1" t="s">
        <v>183</v>
      </c>
      <c r="AY107" s="1" t="s">
        <v>247</v>
      </c>
      <c r="AZ107" s="1" t="s">
        <v>166</v>
      </c>
      <c r="BA107" s="1" t="s">
        <v>612</v>
      </c>
      <c r="BB107" s="1" t="s">
        <v>167</v>
      </c>
      <c r="BC107" s="1" t="s">
        <v>487</v>
      </c>
      <c r="BD107" s="5" t="s">
        <v>613</v>
      </c>
    </row>
    <row r="108" spans="1:56" ht="15.75" customHeight="1">
      <c r="A108" s="1">
        <f t="shared" si="0"/>
        <v>30022</v>
      </c>
      <c r="B108" s="1">
        <v>0</v>
      </c>
      <c r="C108" s="1">
        <v>0</v>
      </c>
      <c r="D108" s="1">
        <v>3</v>
      </c>
      <c r="E108" s="1">
        <f t="shared" si="1"/>
        <v>1</v>
      </c>
      <c r="I108" s="1">
        <v>7.0000000000000007E-2</v>
      </c>
      <c r="K108" s="1">
        <v>13</v>
      </c>
      <c r="U108" s="1">
        <v>5</v>
      </c>
      <c r="W108" s="1">
        <v>3</v>
      </c>
      <c r="AU108" s="1">
        <v>35</v>
      </c>
      <c r="AV108" s="1" t="s">
        <v>611</v>
      </c>
      <c r="AW108" s="1" t="s">
        <v>515</v>
      </c>
      <c r="AX108" s="1" t="s">
        <v>183</v>
      </c>
      <c r="AY108" s="1" t="s">
        <v>247</v>
      </c>
      <c r="AZ108" s="1" t="s">
        <v>166</v>
      </c>
      <c r="BA108" s="1" t="s">
        <v>612</v>
      </c>
      <c r="BB108" s="1" t="s">
        <v>516</v>
      </c>
      <c r="BC108" s="1" t="s">
        <v>487</v>
      </c>
      <c r="BD108" s="5" t="s">
        <v>613</v>
      </c>
    </row>
    <row r="109" spans="1:56" ht="15.75" customHeight="1">
      <c r="A109" s="1">
        <f t="shared" si="0"/>
        <v>30022</v>
      </c>
      <c r="B109" s="1">
        <v>0</v>
      </c>
      <c r="C109" s="1">
        <v>0</v>
      </c>
      <c r="D109" s="1">
        <v>3</v>
      </c>
      <c r="E109" s="1">
        <f t="shared" si="1"/>
        <v>2</v>
      </c>
      <c r="I109" s="1">
        <v>7.4999999999999997E-2</v>
      </c>
      <c r="K109" s="1">
        <v>13</v>
      </c>
      <c r="U109" s="1">
        <v>7</v>
      </c>
      <c r="W109" s="1">
        <v>3</v>
      </c>
      <c r="AU109" s="1">
        <v>35</v>
      </c>
      <c r="AV109" s="1" t="s">
        <v>611</v>
      </c>
      <c r="AW109" s="1" t="s">
        <v>517</v>
      </c>
      <c r="AX109" s="1" t="s">
        <v>563</v>
      </c>
      <c r="AY109" s="1" t="s">
        <v>247</v>
      </c>
      <c r="AZ109" s="1" t="s">
        <v>166</v>
      </c>
      <c r="BA109" s="1" t="s">
        <v>612</v>
      </c>
      <c r="BB109" s="1" t="s">
        <v>516</v>
      </c>
      <c r="BC109" s="1" t="s">
        <v>487</v>
      </c>
      <c r="BD109" s="5" t="s">
        <v>613</v>
      </c>
    </row>
    <row r="110" spans="1:56" ht="15.75" customHeight="1">
      <c r="A110" s="1">
        <f t="shared" si="0"/>
        <v>30022</v>
      </c>
      <c r="B110" s="1">
        <v>0</v>
      </c>
      <c r="C110" s="1">
        <v>0</v>
      </c>
      <c r="D110" s="1">
        <v>3</v>
      </c>
      <c r="E110" s="1">
        <f t="shared" si="1"/>
        <v>3</v>
      </c>
      <c r="I110" s="1">
        <v>0.08</v>
      </c>
      <c r="K110" s="1">
        <v>13</v>
      </c>
      <c r="U110" s="1">
        <v>7</v>
      </c>
      <c r="W110" s="1">
        <v>4</v>
      </c>
      <c r="AU110" s="1">
        <v>35</v>
      </c>
      <c r="AV110" s="1" t="s">
        <v>611</v>
      </c>
      <c r="AW110" s="1" t="s">
        <v>518</v>
      </c>
      <c r="AX110" s="1" t="s">
        <v>563</v>
      </c>
      <c r="AY110" s="1" t="s">
        <v>521</v>
      </c>
      <c r="AZ110" s="1" t="s">
        <v>166</v>
      </c>
      <c r="BA110" s="1" t="s">
        <v>612</v>
      </c>
      <c r="BB110" s="1" t="s">
        <v>516</v>
      </c>
      <c r="BC110" s="1" t="s">
        <v>487</v>
      </c>
      <c r="BD110" s="5" t="s">
        <v>613</v>
      </c>
    </row>
    <row r="111" spans="1:56" ht="15.75" customHeight="1">
      <c r="A111" s="1">
        <f t="shared" si="0"/>
        <v>30022</v>
      </c>
      <c r="B111" s="1">
        <v>0</v>
      </c>
      <c r="C111" s="1">
        <v>0</v>
      </c>
      <c r="D111" s="1">
        <v>3</v>
      </c>
      <c r="E111" s="1">
        <f t="shared" si="1"/>
        <v>4</v>
      </c>
      <c r="I111" s="1">
        <v>8.5000000000000006E-2</v>
      </c>
      <c r="K111" s="1">
        <v>17</v>
      </c>
      <c r="U111" s="1">
        <v>7</v>
      </c>
      <c r="W111" s="1">
        <v>4</v>
      </c>
      <c r="AU111" s="1">
        <v>40</v>
      </c>
      <c r="AV111" s="1" t="s">
        <v>611</v>
      </c>
      <c r="AW111" s="1" t="s">
        <v>520</v>
      </c>
      <c r="AX111" s="1" t="s">
        <v>563</v>
      </c>
      <c r="AY111" s="1" t="s">
        <v>521</v>
      </c>
      <c r="AZ111" s="1" t="s">
        <v>545</v>
      </c>
      <c r="BA111" s="1" t="s">
        <v>612</v>
      </c>
      <c r="BB111" s="1" t="s">
        <v>522</v>
      </c>
      <c r="BC111" s="1" t="s">
        <v>487</v>
      </c>
      <c r="BD111" s="5" t="s">
        <v>613</v>
      </c>
    </row>
    <row r="112" spans="1:56" ht="15.75" customHeight="1">
      <c r="A112" s="1">
        <f t="shared" si="0"/>
        <v>30023</v>
      </c>
      <c r="B112" s="1">
        <v>2</v>
      </c>
      <c r="C112" s="1">
        <v>2</v>
      </c>
      <c r="D112" s="1">
        <v>3</v>
      </c>
      <c r="E112" s="1">
        <f t="shared" si="1"/>
        <v>0</v>
      </c>
      <c r="H112" s="1">
        <v>30</v>
      </c>
      <c r="I112" s="1">
        <v>6.5000000000000002E-2</v>
      </c>
      <c r="Q112" s="1">
        <v>11</v>
      </c>
      <c r="R112" s="1"/>
      <c r="Y112" s="1">
        <v>7</v>
      </c>
      <c r="AU112" s="1">
        <v>30</v>
      </c>
      <c r="AV112" s="1" t="s">
        <v>614</v>
      </c>
      <c r="AW112" s="1" t="s">
        <v>484</v>
      </c>
      <c r="AX112" s="1" t="s">
        <v>182</v>
      </c>
      <c r="AY112" s="1" t="s">
        <v>615</v>
      </c>
      <c r="AZ112" s="1" t="s">
        <v>616</v>
      </c>
      <c r="BA112" s="1" t="s">
        <v>617</v>
      </c>
      <c r="BB112" s="1" t="s">
        <v>152</v>
      </c>
      <c r="BC112" s="1" t="s">
        <v>487</v>
      </c>
      <c r="BD112" s="1" t="s">
        <v>618</v>
      </c>
    </row>
    <row r="113" spans="1:56" ht="15.75" customHeight="1">
      <c r="A113" s="1">
        <f t="shared" si="0"/>
        <v>30023</v>
      </c>
      <c r="B113" s="1">
        <v>2</v>
      </c>
      <c r="C113" s="1">
        <v>2</v>
      </c>
      <c r="D113" s="1">
        <v>3</v>
      </c>
      <c r="E113" s="1">
        <f t="shared" si="1"/>
        <v>1</v>
      </c>
      <c r="H113" s="1">
        <v>30</v>
      </c>
      <c r="I113" s="1">
        <v>7.0000000000000007E-2</v>
      </c>
      <c r="Q113" s="1">
        <v>11</v>
      </c>
      <c r="R113" s="1"/>
      <c r="Y113" s="1">
        <v>7</v>
      </c>
      <c r="AU113" s="1">
        <v>35</v>
      </c>
      <c r="AV113" s="1" t="s">
        <v>614</v>
      </c>
      <c r="AW113" s="1" t="s">
        <v>489</v>
      </c>
      <c r="AX113" s="1" t="s">
        <v>182</v>
      </c>
      <c r="AY113" s="1" t="s">
        <v>615</v>
      </c>
      <c r="AZ113" s="1" t="s">
        <v>616</v>
      </c>
      <c r="BA113" s="1" t="s">
        <v>617</v>
      </c>
      <c r="BB113" s="1" t="s">
        <v>478</v>
      </c>
      <c r="BC113" s="1" t="s">
        <v>487</v>
      </c>
      <c r="BD113" s="1" t="s">
        <v>618</v>
      </c>
    </row>
    <row r="114" spans="1:56" ht="15.75" customHeight="1">
      <c r="A114" s="1">
        <f t="shared" si="0"/>
        <v>30023</v>
      </c>
      <c r="B114" s="1">
        <v>2</v>
      </c>
      <c r="C114" s="1">
        <v>2</v>
      </c>
      <c r="D114" s="1">
        <v>3</v>
      </c>
      <c r="E114" s="1">
        <f t="shared" si="1"/>
        <v>2</v>
      </c>
      <c r="H114" s="1">
        <v>40</v>
      </c>
      <c r="I114" s="1">
        <v>7.4999999999999997E-2</v>
      </c>
      <c r="Q114" s="1">
        <v>11</v>
      </c>
      <c r="R114" s="1"/>
      <c r="Y114" s="1">
        <v>7</v>
      </c>
      <c r="AU114" s="1">
        <v>35</v>
      </c>
      <c r="AV114" s="1" t="s">
        <v>614</v>
      </c>
      <c r="AW114" s="1" t="s">
        <v>490</v>
      </c>
      <c r="AX114" s="1" t="s">
        <v>479</v>
      </c>
      <c r="AY114" s="1" t="s">
        <v>615</v>
      </c>
      <c r="AZ114" s="1" t="s">
        <v>616</v>
      </c>
      <c r="BA114" s="1" t="s">
        <v>617</v>
      </c>
      <c r="BB114" s="1" t="s">
        <v>478</v>
      </c>
      <c r="BC114" s="1" t="s">
        <v>487</v>
      </c>
      <c r="BD114" s="1" t="s">
        <v>618</v>
      </c>
    </row>
    <row r="115" spans="1:56" ht="15.75" customHeight="1">
      <c r="A115" s="1">
        <f t="shared" si="0"/>
        <v>30023</v>
      </c>
      <c r="B115" s="1">
        <v>2</v>
      </c>
      <c r="C115" s="1">
        <v>2</v>
      </c>
      <c r="D115" s="1">
        <v>3</v>
      </c>
      <c r="E115" s="1">
        <f t="shared" si="1"/>
        <v>3</v>
      </c>
      <c r="H115" s="1">
        <v>40</v>
      </c>
      <c r="I115" s="1">
        <v>0.08</v>
      </c>
      <c r="Q115" s="1">
        <v>11</v>
      </c>
      <c r="R115" s="1"/>
      <c r="Y115" s="1">
        <v>9</v>
      </c>
      <c r="AU115" s="1">
        <v>35</v>
      </c>
      <c r="AV115" s="1" t="s">
        <v>614</v>
      </c>
      <c r="AW115" s="1" t="s">
        <v>492</v>
      </c>
      <c r="AX115" s="1" t="s">
        <v>479</v>
      </c>
      <c r="AY115" s="1" t="s">
        <v>619</v>
      </c>
      <c r="AZ115" s="1" t="s">
        <v>616</v>
      </c>
      <c r="BA115" s="1" t="s">
        <v>617</v>
      </c>
      <c r="BB115" s="1" t="s">
        <v>478</v>
      </c>
      <c r="BC115" s="1" t="s">
        <v>487</v>
      </c>
      <c r="BD115" s="1" t="s">
        <v>618</v>
      </c>
    </row>
    <row r="116" spans="1:56" ht="15.75" customHeight="1">
      <c r="A116" s="1">
        <f t="shared" si="0"/>
        <v>30023</v>
      </c>
      <c r="B116" s="1">
        <v>2</v>
      </c>
      <c r="C116" s="1">
        <v>2</v>
      </c>
      <c r="D116" s="1">
        <v>3</v>
      </c>
      <c r="E116" s="1">
        <f t="shared" si="1"/>
        <v>4</v>
      </c>
      <c r="H116" s="1">
        <v>40</v>
      </c>
      <c r="I116" s="1">
        <v>8.5000000000000006E-2</v>
      </c>
      <c r="Q116" s="1">
        <v>15</v>
      </c>
      <c r="R116" s="1"/>
      <c r="Y116" s="1">
        <v>9</v>
      </c>
      <c r="AU116" s="1">
        <v>40</v>
      </c>
      <c r="AV116" s="1" t="s">
        <v>614</v>
      </c>
      <c r="AW116" s="1" t="s">
        <v>494</v>
      </c>
      <c r="AX116" s="1" t="s">
        <v>479</v>
      </c>
      <c r="AY116" s="1" t="s">
        <v>619</v>
      </c>
      <c r="AZ116" s="1" t="s">
        <v>620</v>
      </c>
      <c r="BA116" s="1" t="s">
        <v>617</v>
      </c>
      <c r="BB116" s="1" t="s">
        <v>482</v>
      </c>
      <c r="BC116" s="1" t="s">
        <v>487</v>
      </c>
      <c r="BD116" s="1" t="s">
        <v>618</v>
      </c>
    </row>
    <row r="117" spans="1:56" ht="15.75" customHeight="1">
      <c r="A117" s="1">
        <f t="shared" si="0"/>
        <v>30024</v>
      </c>
      <c r="B117" s="1">
        <v>1</v>
      </c>
      <c r="C117" s="1">
        <v>2</v>
      </c>
      <c r="D117" s="1">
        <v>3</v>
      </c>
      <c r="E117" s="1">
        <f t="shared" si="1"/>
        <v>0</v>
      </c>
      <c r="F117" s="1">
        <v>21</v>
      </c>
      <c r="G117" s="1">
        <v>52</v>
      </c>
      <c r="K117" s="1">
        <v>13</v>
      </c>
      <c r="O117" s="1">
        <v>12</v>
      </c>
      <c r="P117" s="1"/>
      <c r="AU117" s="1">
        <v>30</v>
      </c>
      <c r="AV117" s="1" t="s">
        <v>621</v>
      </c>
      <c r="AW117" s="1" t="s">
        <v>945</v>
      </c>
      <c r="AX117" s="1" t="s">
        <v>220</v>
      </c>
      <c r="AY117" s="1" t="s">
        <v>221</v>
      </c>
      <c r="AZ117" s="1" t="s">
        <v>622</v>
      </c>
      <c r="BA117" s="1" t="s">
        <v>623</v>
      </c>
      <c r="BB117" s="1" t="s">
        <v>214</v>
      </c>
      <c r="BC117" s="1" t="s">
        <v>487</v>
      </c>
      <c r="BD117" s="5" t="s">
        <v>624</v>
      </c>
    </row>
    <row r="118" spans="1:56" ht="15.75" customHeight="1">
      <c r="A118" s="1">
        <f t="shared" si="0"/>
        <v>30024</v>
      </c>
      <c r="B118" s="1">
        <v>1</v>
      </c>
      <c r="C118" s="1">
        <v>2</v>
      </c>
      <c r="D118" s="1">
        <v>3</v>
      </c>
      <c r="E118" s="1">
        <f t="shared" si="1"/>
        <v>1</v>
      </c>
      <c r="F118" s="1">
        <v>21</v>
      </c>
      <c r="G118" s="1">
        <v>55</v>
      </c>
      <c r="K118" s="1">
        <v>13</v>
      </c>
      <c r="O118" s="1">
        <v>12</v>
      </c>
      <c r="P118" s="1"/>
      <c r="AU118" s="1">
        <v>35</v>
      </c>
      <c r="AV118" s="1" t="s">
        <v>621</v>
      </c>
      <c r="AW118" s="1" t="s">
        <v>948</v>
      </c>
      <c r="AX118" s="1" t="s">
        <v>220</v>
      </c>
      <c r="AY118" s="1" t="s">
        <v>221</v>
      </c>
      <c r="AZ118" s="1" t="s">
        <v>622</v>
      </c>
      <c r="BA118" s="1" t="s">
        <v>623</v>
      </c>
      <c r="BB118" s="1" t="s">
        <v>503</v>
      </c>
      <c r="BC118" s="1" t="s">
        <v>487</v>
      </c>
      <c r="BD118" s="5" t="s">
        <v>624</v>
      </c>
    </row>
    <row r="119" spans="1:56" ht="15.75" customHeight="1">
      <c r="A119" s="1">
        <f t="shared" si="0"/>
        <v>30024</v>
      </c>
      <c r="B119" s="1">
        <v>1</v>
      </c>
      <c r="C119" s="1">
        <v>2</v>
      </c>
      <c r="D119" s="1">
        <v>3</v>
      </c>
      <c r="E119" s="1">
        <f t="shared" si="1"/>
        <v>2</v>
      </c>
      <c r="F119" s="1">
        <v>28</v>
      </c>
      <c r="G119" s="1">
        <v>59</v>
      </c>
      <c r="K119" s="1">
        <v>13</v>
      </c>
      <c r="O119" s="1">
        <v>12</v>
      </c>
      <c r="P119" s="1"/>
      <c r="AU119" s="1">
        <v>35</v>
      </c>
      <c r="AV119" s="1" t="s">
        <v>621</v>
      </c>
      <c r="AW119" s="1" t="s">
        <v>951</v>
      </c>
      <c r="AX119" s="1" t="s">
        <v>537</v>
      </c>
      <c r="AY119" s="1" t="s">
        <v>221</v>
      </c>
      <c r="AZ119" s="1" t="s">
        <v>622</v>
      </c>
      <c r="BA119" s="1" t="s">
        <v>623</v>
      </c>
      <c r="BB119" s="1" t="s">
        <v>503</v>
      </c>
      <c r="BC119" s="1" t="s">
        <v>487</v>
      </c>
      <c r="BD119" s="5" t="s">
        <v>624</v>
      </c>
    </row>
    <row r="120" spans="1:56" ht="15.75" customHeight="1">
      <c r="A120" s="1">
        <f t="shared" si="0"/>
        <v>30024</v>
      </c>
      <c r="B120" s="1">
        <v>1</v>
      </c>
      <c r="C120" s="1">
        <v>2</v>
      </c>
      <c r="D120" s="1">
        <v>3</v>
      </c>
      <c r="E120" s="1">
        <f t="shared" si="1"/>
        <v>3</v>
      </c>
      <c r="F120" s="1">
        <v>28</v>
      </c>
      <c r="G120" s="1">
        <v>62</v>
      </c>
      <c r="K120" s="1">
        <v>17</v>
      </c>
      <c r="O120" s="1">
        <v>12</v>
      </c>
      <c r="P120" s="1"/>
      <c r="AU120" s="1">
        <v>35</v>
      </c>
      <c r="AV120" s="1" t="s">
        <v>621</v>
      </c>
      <c r="AW120" s="1" t="s">
        <v>954</v>
      </c>
      <c r="AX120" s="1" t="s">
        <v>537</v>
      </c>
      <c r="AY120" s="1" t="s">
        <v>538</v>
      </c>
      <c r="AZ120" s="1" t="s">
        <v>622</v>
      </c>
      <c r="BA120" s="1" t="s">
        <v>623</v>
      </c>
      <c r="BB120" s="1" t="s">
        <v>503</v>
      </c>
      <c r="BC120" s="1" t="s">
        <v>487</v>
      </c>
      <c r="BD120" s="5" t="s">
        <v>624</v>
      </c>
    </row>
    <row r="121" spans="1:56" ht="15.75" customHeight="1">
      <c r="A121" s="1">
        <f t="shared" si="0"/>
        <v>30024</v>
      </c>
      <c r="B121" s="1">
        <v>1</v>
      </c>
      <c r="C121" s="1">
        <v>2</v>
      </c>
      <c r="D121" s="1">
        <v>3</v>
      </c>
      <c r="E121" s="1">
        <f t="shared" si="1"/>
        <v>4</v>
      </c>
      <c r="F121" s="1">
        <v>28</v>
      </c>
      <c r="G121" s="1">
        <v>65</v>
      </c>
      <c r="K121" s="1">
        <v>17</v>
      </c>
      <c r="O121" s="1">
        <v>17</v>
      </c>
      <c r="P121" s="1"/>
      <c r="AU121" s="1">
        <v>40</v>
      </c>
      <c r="AV121" s="1" t="s">
        <v>621</v>
      </c>
      <c r="AW121" s="1" t="s">
        <v>957</v>
      </c>
      <c r="AX121" s="1" t="s">
        <v>537</v>
      </c>
      <c r="AY121" s="1" t="s">
        <v>538</v>
      </c>
      <c r="AZ121" s="1" t="s">
        <v>625</v>
      </c>
      <c r="BA121" s="1" t="s">
        <v>623</v>
      </c>
      <c r="BB121" s="1" t="s">
        <v>510</v>
      </c>
      <c r="BC121" s="1" t="s">
        <v>487</v>
      </c>
      <c r="BD121" s="5" t="s">
        <v>624</v>
      </c>
    </row>
    <row r="122" spans="1:56" ht="15.75" customHeight="1">
      <c r="A122" s="1">
        <f t="shared" si="0"/>
        <v>30025</v>
      </c>
      <c r="B122" s="1">
        <v>2</v>
      </c>
      <c r="C122" s="1">
        <v>0</v>
      </c>
      <c r="D122" s="1">
        <v>3</v>
      </c>
      <c r="E122" s="1">
        <f t="shared" si="1"/>
        <v>0</v>
      </c>
      <c r="I122" s="1">
        <v>6.5000000000000002E-2</v>
      </c>
      <c r="K122" s="1">
        <v>13</v>
      </c>
      <c r="U122" s="1">
        <v>5</v>
      </c>
      <c r="W122" s="1">
        <v>3</v>
      </c>
      <c r="AU122" s="1">
        <v>30</v>
      </c>
      <c r="AV122" s="1" t="s">
        <v>626</v>
      </c>
      <c r="AW122" s="1" t="s">
        <v>484</v>
      </c>
      <c r="AX122" s="1" t="s">
        <v>198</v>
      </c>
      <c r="AY122" s="1" t="s">
        <v>254</v>
      </c>
      <c r="AZ122" s="1" t="s">
        <v>151</v>
      </c>
      <c r="BA122" s="1" t="s">
        <v>627</v>
      </c>
      <c r="BB122" s="1" t="s">
        <v>152</v>
      </c>
      <c r="BC122" s="1" t="s">
        <v>487</v>
      </c>
      <c r="BD122" s="5" t="s">
        <v>628</v>
      </c>
    </row>
    <row r="123" spans="1:56" ht="15.75" customHeight="1">
      <c r="A123" s="1">
        <f t="shared" si="0"/>
        <v>30025</v>
      </c>
      <c r="B123" s="1">
        <v>2</v>
      </c>
      <c r="C123" s="1">
        <v>0</v>
      </c>
      <c r="D123" s="1">
        <v>3</v>
      </c>
      <c r="E123" s="1">
        <f t="shared" si="1"/>
        <v>1</v>
      </c>
      <c r="I123" s="1">
        <v>7.0000000000000007E-2</v>
      </c>
      <c r="K123" s="1">
        <v>13</v>
      </c>
      <c r="U123" s="1">
        <v>5</v>
      </c>
      <c r="W123" s="1">
        <v>3</v>
      </c>
      <c r="AU123" s="1">
        <v>35</v>
      </c>
      <c r="AV123" s="1" t="s">
        <v>626</v>
      </c>
      <c r="AW123" s="1" t="s">
        <v>489</v>
      </c>
      <c r="AX123" s="1" t="s">
        <v>198</v>
      </c>
      <c r="AY123" s="1" t="s">
        <v>254</v>
      </c>
      <c r="AZ123" s="1" t="s">
        <v>151</v>
      </c>
      <c r="BA123" s="1" t="s">
        <v>627</v>
      </c>
      <c r="BB123" s="1" t="s">
        <v>478</v>
      </c>
      <c r="BC123" s="1" t="s">
        <v>487</v>
      </c>
      <c r="BD123" s="5" t="s">
        <v>628</v>
      </c>
    </row>
    <row r="124" spans="1:56" ht="15.75" customHeight="1">
      <c r="A124" s="1">
        <f t="shared" si="0"/>
        <v>30025</v>
      </c>
      <c r="B124" s="1">
        <v>2</v>
      </c>
      <c r="C124" s="1">
        <v>0</v>
      </c>
      <c r="D124" s="1">
        <v>3</v>
      </c>
      <c r="E124" s="1">
        <f t="shared" si="1"/>
        <v>2</v>
      </c>
      <c r="I124" s="1">
        <v>7.4999999999999997E-2</v>
      </c>
      <c r="K124" s="1">
        <v>13</v>
      </c>
      <c r="U124" s="1">
        <v>7</v>
      </c>
      <c r="W124" s="1">
        <v>3</v>
      </c>
      <c r="AU124" s="1">
        <v>35</v>
      </c>
      <c r="AV124" s="1" t="s">
        <v>626</v>
      </c>
      <c r="AW124" s="1" t="s">
        <v>490</v>
      </c>
      <c r="AX124" s="1" t="s">
        <v>551</v>
      </c>
      <c r="AY124" s="1" t="s">
        <v>254</v>
      </c>
      <c r="AZ124" s="1" t="s">
        <v>151</v>
      </c>
      <c r="BA124" s="1" t="s">
        <v>627</v>
      </c>
      <c r="BB124" s="1" t="s">
        <v>478</v>
      </c>
      <c r="BC124" s="1" t="s">
        <v>487</v>
      </c>
      <c r="BD124" s="5" t="s">
        <v>628</v>
      </c>
    </row>
    <row r="125" spans="1:56" ht="15.75" customHeight="1">
      <c r="A125" s="1">
        <f t="shared" si="0"/>
        <v>30025</v>
      </c>
      <c r="B125" s="1">
        <v>2</v>
      </c>
      <c r="C125" s="1">
        <v>0</v>
      </c>
      <c r="D125" s="1">
        <v>3</v>
      </c>
      <c r="E125" s="1">
        <f t="shared" si="1"/>
        <v>3</v>
      </c>
      <c r="I125" s="1">
        <v>0.08</v>
      </c>
      <c r="K125" s="1">
        <v>13</v>
      </c>
      <c r="U125" s="1">
        <v>7</v>
      </c>
      <c r="W125" s="1">
        <v>4</v>
      </c>
      <c r="AU125" s="1">
        <v>35</v>
      </c>
      <c r="AV125" s="1" t="s">
        <v>626</v>
      </c>
      <c r="AW125" s="1" t="s">
        <v>492</v>
      </c>
      <c r="AX125" s="1" t="s">
        <v>551</v>
      </c>
      <c r="AY125" s="1" t="s">
        <v>495</v>
      </c>
      <c r="AZ125" s="1" t="s">
        <v>151</v>
      </c>
      <c r="BA125" s="1" t="s">
        <v>627</v>
      </c>
      <c r="BB125" s="1" t="s">
        <v>478</v>
      </c>
      <c r="BC125" s="1" t="s">
        <v>487</v>
      </c>
      <c r="BD125" s="5" t="s">
        <v>628</v>
      </c>
    </row>
    <row r="126" spans="1:56" ht="15.75" customHeight="1">
      <c r="A126" s="1">
        <f t="shared" si="0"/>
        <v>30025</v>
      </c>
      <c r="B126" s="1">
        <v>2</v>
      </c>
      <c r="C126" s="1">
        <v>0</v>
      </c>
      <c r="D126" s="1">
        <v>3</v>
      </c>
      <c r="E126" s="1">
        <f t="shared" si="1"/>
        <v>4</v>
      </c>
      <c r="I126" s="1">
        <v>8.5000000000000006E-2</v>
      </c>
      <c r="K126" s="1">
        <v>17</v>
      </c>
      <c r="U126" s="1">
        <v>7</v>
      </c>
      <c r="W126" s="1">
        <v>4</v>
      </c>
      <c r="AU126" s="1">
        <v>40</v>
      </c>
      <c r="AV126" s="1" t="s">
        <v>626</v>
      </c>
      <c r="AW126" s="1" t="s">
        <v>494</v>
      </c>
      <c r="AX126" s="1" t="s">
        <v>551</v>
      </c>
      <c r="AY126" s="1" t="s">
        <v>495</v>
      </c>
      <c r="AZ126" s="1" t="s">
        <v>493</v>
      </c>
      <c r="BA126" s="1" t="s">
        <v>627</v>
      </c>
      <c r="BB126" s="1" t="s">
        <v>482</v>
      </c>
      <c r="BC126" s="1" t="s">
        <v>487</v>
      </c>
      <c r="BD126" s="5" t="s">
        <v>628</v>
      </c>
    </row>
    <row r="127" spans="1:56" ht="15.75" customHeight="1">
      <c r="A127" s="1">
        <f t="shared" si="0"/>
        <v>30026</v>
      </c>
      <c r="B127" s="1">
        <v>1</v>
      </c>
      <c r="C127" s="1">
        <v>3</v>
      </c>
      <c r="D127" s="1">
        <v>3</v>
      </c>
      <c r="E127" s="1">
        <f t="shared" si="1"/>
        <v>0</v>
      </c>
      <c r="F127" s="1">
        <v>21</v>
      </c>
      <c r="G127" s="1">
        <v>52</v>
      </c>
      <c r="K127" s="1">
        <v>13</v>
      </c>
      <c r="AC127" s="1">
        <v>2</v>
      </c>
      <c r="AU127" s="1">
        <v>30</v>
      </c>
      <c r="AV127" s="1" t="s">
        <v>629</v>
      </c>
      <c r="AW127" s="1" t="s">
        <v>945</v>
      </c>
      <c r="AX127" s="1" t="s">
        <v>220</v>
      </c>
      <c r="AY127" s="1" t="s">
        <v>221</v>
      </c>
      <c r="AZ127" s="1" t="s">
        <v>571</v>
      </c>
      <c r="BA127" s="1" t="s">
        <v>630</v>
      </c>
      <c r="BB127" s="1" t="s">
        <v>214</v>
      </c>
      <c r="BC127" s="1" t="s">
        <v>487</v>
      </c>
      <c r="BD127" s="5" t="s">
        <v>631</v>
      </c>
    </row>
    <row r="128" spans="1:56" ht="15.75" customHeight="1">
      <c r="A128" s="1">
        <f t="shared" si="0"/>
        <v>30026</v>
      </c>
      <c r="B128" s="1">
        <v>1</v>
      </c>
      <c r="C128" s="1">
        <v>3</v>
      </c>
      <c r="D128" s="1">
        <v>3</v>
      </c>
      <c r="E128" s="1">
        <f t="shared" si="1"/>
        <v>1</v>
      </c>
      <c r="F128" s="1">
        <v>21</v>
      </c>
      <c r="G128" s="1">
        <v>55</v>
      </c>
      <c r="K128" s="1">
        <v>13</v>
      </c>
      <c r="AC128" s="1">
        <v>2</v>
      </c>
      <c r="AU128" s="1">
        <v>35</v>
      </c>
      <c r="AV128" s="1" t="s">
        <v>629</v>
      </c>
      <c r="AW128" s="1" t="s">
        <v>948</v>
      </c>
      <c r="AX128" s="1" t="s">
        <v>220</v>
      </c>
      <c r="AY128" s="1" t="s">
        <v>221</v>
      </c>
      <c r="AZ128" s="1" t="s">
        <v>571</v>
      </c>
      <c r="BA128" s="1" t="s">
        <v>630</v>
      </c>
      <c r="BB128" s="1" t="s">
        <v>503</v>
      </c>
      <c r="BC128" s="1" t="s">
        <v>487</v>
      </c>
      <c r="BD128" s="5" t="s">
        <v>631</v>
      </c>
    </row>
    <row r="129" spans="1:56" ht="15.75" customHeight="1">
      <c r="A129" s="1">
        <f t="shared" si="0"/>
        <v>30026</v>
      </c>
      <c r="B129" s="1">
        <v>1</v>
      </c>
      <c r="C129" s="1">
        <v>3</v>
      </c>
      <c r="D129" s="1">
        <v>3</v>
      </c>
      <c r="E129" s="1">
        <f t="shared" si="1"/>
        <v>2</v>
      </c>
      <c r="F129" s="1">
        <v>28</v>
      </c>
      <c r="G129" s="1">
        <v>59</v>
      </c>
      <c r="K129" s="1">
        <v>13</v>
      </c>
      <c r="AC129" s="1">
        <v>2</v>
      </c>
      <c r="AU129" s="1">
        <v>35</v>
      </c>
      <c r="AV129" s="1" t="s">
        <v>629</v>
      </c>
      <c r="AW129" s="1" t="s">
        <v>951</v>
      </c>
      <c r="AX129" s="1" t="s">
        <v>537</v>
      </c>
      <c r="AY129" s="1" t="s">
        <v>221</v>
      </c>
      <c r="AZ129" s="1" t="s">
        <v>571</v>
      </c>
      <c r="BA129" s="1" t="s">
        <v>630</v>
      </c>
      <c r="BB129" s="1" t="s">
        <v>503</v>
      </c>
      <c r="BC129" s="1" t="s">
        <v>487</v>
      </c>
      <c r="BD129" s="5" t="s">
        <v>631</v>
      </c>
    </row>
    <row r="130" spans="1:56" ht="15.75" customHeight="1">
      <c r="A130" s="1">
        <f t="shared" si="0"/>
        <v>30026</v>
      </c>
      <c r="B130" s="1">
        <v>1</v>
      </c>
      <c r="C130" s="1">
        <v>3</v>
      </c>
      <c r="D130" s="1">
        <v>3</v>
      </c>
      <c r="E130" s="1">
        <f t="shared" si="1"/>
        <v>3</v>
      </c>
      <c r="F130" s="1">
        <v>28</v>
      </c>
      <c r="G130" s="1">
        <v>62</v>
      </c>
      <c r="K130" s="1">
        <v>17</v>
      </c>
      <c r="AC130" s="1">
        <v>2</v>
      </c>
      <c r="AU130" s="1">
        <v>35</v>
      </c>
      <c r="AV130" s="1" t="s">
        <v>629</v>
      </c>
      <c r="AW130" s="1" t="s">
        <v>954</v>
      </c>
      <c r="AX130" s="1" t="s">
        <v>537</v>
      </c>
      <c r="AY130" s="1" t="s">
        <v>538</v>
      </c>
      <c r="AZ130" s="1" t="s">
        <v>571</v>
      </c>
      <c r="BA130" s="1" t="s">
        <v>630</v>
      </c>
      <c r="BB130" s="1" t="s">
        <v>503</v>
      </c>
      <c r="BC130" s="1" t="s">
        <v>487</v>
      </c>
      <c r="BD130" s="5" t="s">
        <v>631</v>
      </c>
    </row>
    <row r="131" spans="1:56" ht="15.75" customHeight="1">
      <c r="A131" s="1">
        <f t="shared" si="0"/>
        <v>30026</v>
      </c>
      <c r="B131" s="1">
        <v>1</v>
      </c>
      <c r="C131" s="1">
        <v>3</v>
      </c>
      <c r="D131" s="1">
        <v>3</v>
      </c>
      <c r="E131" s="1">
        <f t="shared" si="1"/>
        <v>4</v>
      </c>
      <c r="F131" s="1">
        <v>28</v>
      </c>
      <c r="G131" s="1">
        <v>65</v>
      </c>
      <c r="K131" s="1">
        <v>17</v>
      </c>
      <c r="AC131" s="1">
        <v>3</v>
      </c>
      <c r="AU131" s="1">
        <v>40</v>
      </c>
      <c r="AV131" s="1" t="s">
        <v>629</v>
      </c>
      <c r="AW131" s="1" t="s">
        <v>957</v>
      </c>
      <c r="AX131" s="1" t="s">
        <v>537</v>
      </c>
      <c r="AY131" s="1" t="s">
        <v>538</v>
      </c>
      <c r="AZ131" s="1" t="s">
        <v>574</v>
      </c>
      <c r="BA131" s="1" t="s">
        <v>630</v>
      </c>
      <c r="BB131" s="1" t="s">
        <v>510</v>
      </c>
      <c r="BC131" s="1" t="s">
        <v>487</v>
      </c>
      <c r="BD131" s="5" t="s">
        <v>631</v>
      </c>
    </row>
    <row r="132" spans="1:56" ht="15.75" customHeight="1">
      <c r="A132" s="1">
        <f t="shared" si="0"/>
        <v>30027</v>
      </c>
      <c r="B132" s="1">
        <v>1</v>
      </c>
      <c r="C132" s="1">
        <v>2</v>
      </c>
      <c r="D132" s="1">
        <v>3</v>
      </c>
      <c r="E132" s="1">
        <f t="shared" si="1"/>
        <v>0</v>
      </c>
      <c r="F132" s="1">
        <v>21</v>
      </c>
      <c r="G132" s="1">
        <v>52</v>
      </c>
      <c r="K132" s="1">
        <v>13</v>
      </c>
      <c r="AT132" s="1">
        <v>17</v>
      </c>
      <c r="AU132" s="1">
        <v>30</v>
      </c>
      <c r="AV132" s="1" t="s">
        <v>632</v>
      </c>
      <c r="AW132" s="1" t="s">
        <v>945</v>
      </c>
      <c r="AX132" s="1" t="s">
        <v>220</v>
      </c>
      <c r="AY132" s="1" t="s">
        <v>221</v>
      </c>
      <c r="AZ132" s="1" t="s">
        <v>1086</v>
      </c>
      <c r="BA132" s="1" t="s">
        <v>633</v>
      </c>
      <c r="BB132" s="1" t="s">
        <v>214</v>
      </c>
      <c r="BC132" s="1" t="s">
        <v>487</v>
      </c>
      <c r="BD132" s="1" t="s">
        <v>634</v>
      </c>
    </row>
    <row r="133" spans="1:56" ht="15.75" customHeight="1">
      <c r="A133" s="1">
        <f t="shared" si="0"/>
        <v>30027</v>
      </c>
      <c r="B133" s="1">
        <v>1</v>
      </c>
      <c r="C133" s="1">
        <v>2</v>
      </c>
      <c r="D133" s="1">
        <v>3</v>
      </c>
      <c r="E133" s="1">
        <f t="shared" si="1"/>
        <v>1</v>
      </c>
      <c r="F133" s="1">
        <v>21</v>
      </c>
      <c r="G133" s="1">
        <v>55</v>
      </c>
      <c r="K133" s="1">
        <v>13</v>
      </c>
      <c r="AT133" s="1">
        <v>17</v>
      </c>
      <c r="AU133" s="1">
        <v>35</v>
      </c>
      <c r="AV133" s="1" t="s">
        <v>632</v>
      </c>
      <c r="AW133" s="1" t="s">
        <v>948</v>
      </c>
      <c r="AX133" s="1" t="s">
        <v>220</v>
      </c>
      <c r="AY133" s="1" t="s">
        <v>221</v>
      </c>
      <c r="AZ133" s="1" t="s">
        <v>1086</v>
      </c>
      <c r="BA133" s="1" t="s">
        <v>633</v>
      </c>
      <c r="BB133" s="1" t="s">
        <v>503</v>
      </c>
      <c r="BC133" s="1" t="s">
        <v>487</v>
      </c>
      <c r="BD133" s="1" t="s">
        <v>634</v>
      </c>
    </row>
    <row r="134" spans="1:56" ht="15.75" customHeight="1">
      <c r="A134" s="1">
        <f t="shared" si="0"/>
        <v>30027</v>
      </c>
      <c r="B134" s="1">
        <v>1</v>
      </c>
      <c r="C134" s="1">
        <v>2</v>
      </c>
      <c r="D134" s="1">
        <v>3</v>
      </c>
      <c r="E134" s="1">
        <f t="shared" si="1"/>
        <v>2</v>
      </c>
      <c r="F134" s="1">
        <v>28</v>
      </c>
      <c r="G134" s="1">
        <v>59</v>
      </c>
      <c r="K134" s="1">
        <v>13</v>
      </c>
      <c r="AT134" s="1">
        <v>17</v>
      </c>
      <c r="AU134" s="1">
        <v>35</v>
      </c>
      <c r="AV134" s="1" t="s">
        <v>632</v>
      </c>
      <c r="AW134" s="1" t="s">
        <v>951</v>
      </c>
      <c r="AX134" s="1" t="s">
        <v>537</v>
      </c>
      <c r="AY134" s="1" t="s">
        <v>221</v>
      </c>
      <c r="AZ134" s="1" t="s">
        <v>1086</v>
      </c>
      <c r="BA134" s="1" t="s">
        <v>633</v>
      </c>
      <c r="BB134" s="1" t="s">
        <v>503</v>
      </c>
      <c r="BC134" s="1" t="s">
        <v>487</v>
      </c>
      <c r="BD134" s="1" t="s">
        <v>634</v>
      </c>
    </row>
    <row r="135" spans="1:56" ht="15.75" customHeight="1">
      <c r="A135" s="1">
        <f t="shared" si="0"/>
        <v>30027</v>
      </c>
      <c r="B135" s="1">
        <v>1</v>
      </c>
      <c r="C135" s="1">
        <v>2</v>
      </c>
      <c r="D135" s="1">
        <v>3</v>
      </c>
      <c r="E135" s="1">
        <f t="shared" si="1"/>
        <v>3</v>
      </c>
      <c r="F135" s="1">
        <v>28</v>
      </c>
      <c r="G135" s="1">
        <v>62</v>
      </c>
      <c r="K135" s="1">
        <v>17</v>
      </c>
      <c r="AT135" s="1">
        <v>17</v>
      </c>
      <c r="AU135" s="1">
        <v>35</v>
      </c>
      <c r="AV135" s="1" t="s">
        <v>632</v>
      </c>
      <c r="AW135" s="1" t="s">
        <v>954</v>
      </c>
      <c r="AX135" s="1" t="s">
        <v>537</v>
      </c>
      <c r="AY135" s="1" t="s">
        <v>538</v>
      </c>
      <c r="AZ135" s="1" t="s">
        <v>1086</v>
      </c>
      <c r="BA135" s="1" t="s">
        <v>633</v>
      </c>
      <c r="BB135" s="1" t="s">
        <v>503</v>
      </c>
      <c r="BC135" s="1" t="s">
        <v>487</v>
      </c>
      <c r="BD135" s="1" t="s">
        <v>634</v>
      </c>
    </row>
    <row r="136" spans="1:56" ht="15.75" customHeight="1">
      <c r="A136" s="1">
        <f t="shared" si="0"/>
        <v>30027</v>
      </c>
      <c r="B136" s="1">
        <v>1</v>
      </c>
      <c r="C136" s="1">
        <v>2</v>
      </c>
      <c r="D136" s="1">
        <v>3</v>
      </c>
      <c r="E136" s="1">
        <f t="shared" si="1"/>
        <v>4</v>
      </c>
      <c r="F136" s="1">
        <v>28</v>
      </c>
      <c r="G136" s="1">
        <v>65</v>
      </c>
      <c r="K136" s="1">
        <v>17</v>
      </c>
      <c r="AT136" s="1">
        <v>22</v>
      </c>
      <c r="AU136" s="1">
        <v>40</v>
      </c>
      <c r="AV136" s="1" t="s">
        <v>632</v>
      </c>
      <c r="AW136" s="1" t="s">
        <v>957</v>
      </c>
      <c r="AX136" s="1" t="s">
        <v>537</v>
      </c>
      <c r="AY136" s="1" t="s">
        <v>538</v>
      </c>
      <c r="AZ136" s="1" t="s">
        <v>1087</v>
      </c>
      <c r="BA136" s="1" t="s">
        <v>633</v>
      </c>
      <c r="BB136" s="1" t="s">
        <v>510</v>
      </c>
      <c r="BC136" s="1" t="s">
        <v>487</v>
      </c>
      <c r="BD136" s="1" t="s">
        <v>634</v>
      </c>
    </row>
    <row r="137" spans="1:56" ht="15.75" customHeight="1">
      <c r="A137" s="1">
        <f t="shared" si="0"/>
        <v>30028</v>
      </c>
      <c r="B137" s="1">
        <v>0</v>
      </c>
      <c r="C137" s="1">
        <v>1</v>
      </c>
      <c r="D137" s="1">
        <v>3</v>
      </c>
      <c r="E137" s="1">
        <f t="shared" si="1"/>
        <v>0</v>
      </c>
      <c r="H137" s="1">
        <v>30</v>
      </c>
      <c r="I137" s="1">
        <v>6.5000000000000002E-2</v>
      </c>
      <c r="K137" s="1">
        <v>13</v>
      </c>
      <c r="O137" s="1">
        <v>12</v>
      </c>
      <c r="P137" s="1"/>
      <c r="AU137" s="1">
        <v>30</v>
      </c>
      <c r="AV137" s="1" t="s">
        <v>635</v>
      </c>
      <c r="AW137" s="1" t="s">
        <v>512</v>
      </c>
      <c r="AX137" s="1" t="s">
        <v>182</v>
      </c>
      <c r="AY137" s="1" t="s">
        <v>166</v>
      </c>
      <c r="AZ137" s="1" t="s">
        <v>636</v>
      </c>
      <c r="BA137" s="1" t="s">
        <v>637</v>
      </c>
      <c r="BB137" s="1" t="s">
        <v>167</v>
      </c>
      <c r="BC137" s="1" t="s">
        <v>476</v>
      </c>
      <c r="BD137" s="5" t="s">
        <v>638</v>
      </c>
    </row>
    <row r="138" spans="1:56" ht="15.75" customHeight="1">
      <c r="A138" s="1">
        <f t="shared" si="0"/>
        <v>30028</v>
      </c>
      <c r="B138" s="1">
        <v>0</v>
      </c>
      <c r="C138" s="1">
        <v>1</v>
      </c>
      <c r="D138" s="1">
        <v>3</v>
      </c>
      <c r="E138" s="1">
        <f t="shared" si="1"/>
        <v>1</v>
      </c>
      <c r="H138" s="1">
        <v>30</v>
      </c>
      <c r="I138" s="1">
        <v>7.0000000000000007E-2</v>
      </c>
      <c r="K138" s="1">
        <v>13</v>
      </c>
      <c r="O138" s="1">
        <v>12</v>
      </c>
      <c r="P138" s="1"/>
      <c r="AU138" s="1">
        <v>35</v>
      </c>
      <c r="AV138" s="1" t="s">
        <v>635</v>
      </c>
      <c r="AW138" s="1" t="s">
        <v>515</v>
      </c>
      <c r="AX138" s="1" t="s">
        <v>182</v>
      </c>
      <c r="AY138" s="1" t="s">
        <v>166</v>
      </c>
      <c r="AZ138" s="1" t="s">
        <v>636</v>
      </c>
      <c r="BA138" s="1" t="s">
        <v>637</v>
      </c>
      <c r="BB138" s="1" t="s">
        <v>516</v>
      </c>
      <c r="BC138" s="1" t="s">
        <v>476</v>
      </c>
      <c r="BD138" s="5" t="s">
        <v>638</v>
      </c>
    </row>
    <row r="139" spans="1:56" ht="15.75" customHeight="1">
      <c r="A139" s="1">
        <f t="shared" si="0"/>
        <v>30028</v>
      </c>
      <c r="B139" s="1">
        <v>0</v>
      </c>
      <c r="C139" s="1">
        <v>1</v>
      </c>
      <c r="D139" s="1">
        <v>3</v>
      </c>
      <c r="E139" s="1">
        <f t="shared" si="1"/>
        <v>2</v>
      </c>
      <c r="H139" s="1">
        <v>40</v>
      </c>
      <c r="I139" s="1">
        <v>7.4999999999999997E-2</v>
      </c>
      <c r="K139" s="1">
        <v>13</v>
      </c>
      <c r="O139" s="1">
        <v>12</v>
      </c>
      <c r="P139" s="1"/>
      <c r="AU139" s="1">
        <v>35</v>
      </c>
      <c r="AV139" s="1" t="s">
        <v>635</v>
      </c>
      <c r="AW139" s="1" t="s">
        <v>517</v>
      </c>
      <c r="AX139" s="1" t="s">
        <v>479</v>
      </c>
      <c r="AY139" s="1" t="s">
        <v>166</v>
      </c>
      <c r="AZ139" s="1" t="s">
        <v>636</v>
      </c>
      <c r="BA139" s="1" t="s">
        <v>637</v>
      </c>
      <c r="BB139" s="1" t="s">
        <v>516</v>
      </c>
      <c r="BC139" s="1" t="s">
        <v>476</v>
      </c>
      <c r="BD139" s="5" t="s">
        <v>638</v>
      </c>
    </row>
    <row r="140" spans="1:56" ht="15.75" customHeight="1">
      <c r="A140" s="1">
        <f t="shared" si="0"/>
        <v>30028</v>
      </c>
      <c r="B140" s="1">
        <v>0</v>
      </c>
      <c r="C140" s="1">
        <v>1</v>
      </c>
      <c r="D140" s="1">
        <v>3</v>
      </c>
      <c r="E140" s="1">
        <f t="shared" si="1"/>
        <v>3</v>
      </c>
      <c r="H140" s="1">
        <v>40</v>
      </c>
      <c r="I140" s="1">
        <v>0.08</v>
      </c>
      <c r="K140" s="1">
        <v>17</v>
      </c>
      <c r="O140" s="1">
        <v>12</v>
      </c>
      <c r="P140" s="1"/>
      <c r="AU140" s="1">
        <v>35</v>
      </c>
      <c r="AV140" s="1" t="s">
        <v>635</v>
      </c>
      <c r="AW140" s="1" t="s">
        <v>518</v>
      </c>
      <c r="AX140" s="1" t="s">
        <v>479</v>
      </c>
      <c r="AY140" s="1" t="s">
        <v>545</v>
      </c>
      <c r="AZ140" s="1" t="s">
        <v>636</v>
      </c>
      <c r="BA140" s="1" t="s">
        <v>637</v>
      </c>
      <c r="BB140" s="1" t="s">
        <v>516</v>
      </c>
      <c r="BC140" s="1" t="s">
        <v>476</v>
      </c>
      <c r="BD140" s="5" t="s">
        <v>638</v>
      </c>
    </row>
    <row r="141" spans="1:56" ht="15.75" customHeight="1">
      <c r="A141" s="1">
        <f t="shared" si="0"/>
        <v>30028</v>
      </c>
      <c r="B141" s="1">
        <v>0</v>
      </c>
      <c r="C141" s="1">
        <v>1</v>
      </c>
      <c r="D141" s="1">
        <v>3</v>
      </c>
      <c r="E141" s="1">
        <f t="shared" si="1"/>
        <v>4</v>
      </c>
      <c r="H141" s="1">
        <v>40</v>
      </c>
      <c r="I141" s="1">
        <v>8.5000000000000006E-2</v>
      </c>
      <c r="K141" s="1">
        <v>17</v>
      </c>
      <c r="O141" s="1">
        <v>17</v>
      </c>
      <c r="P141" s="1"/>
      <c r="AU141" s="1">
        <v>40</v>
      </c>
      <c r="AV141" s="1" t="s">
        <v>635</v>
      </c>
      <c r="AW141" s="1" t="s">
        <v>520</v>
      </c>
      <c r="AX141" s="1" t="s">
        <v>479</v>
      </c>
      <c r="AY141" s="1" t="s">
        <v>545</v>
      </c>
      <c r="AZ141" s="1" t="s">
        <v>639</v>
      </c>
      <c r="BA141" s="1" t="s">
        <v>637</v>
      </c>
      <c r="BB141" s="1" t="s">
        <v>522</v>
      </c>
      <c r="BC141" s="1" t="s">
        <v>476</v>
      </c>
      <c r="BD141" s="5" t="s">
        <v>638</v>
      </c>
    </row>
    <row r="142" spans="1:56" ht="15.75" customHeight="1">
      <c r="A142" s="1">
        <f t="shared" si="0"/>
        <v>30029</v>
      </c>
      <c r="B142" s="1">
        <v>2</v>
      </c>
      <c r="C142" s="1">
        <v>1</v>
      </c>
      <c r="D142" s="1">
        <v>3</v>
      </c>
      <c r="E142" s="1">
        <f t="shared" si="1"/>
        <v>0</v>
      </c>
      <c r="I142" s="1">
        <v>6.5000000000000002E-2</v>
      </c>
      <c r="K142" s="1">
        <v>13</v>
      </c>
      <c r="S142" s="1">
        <v>14</v>
      </c>
      <c r="T142" s="1"/>
      <c r="AC142" s="1">
        <v>2</v>
      </c>
      <c r="AU142" s="1">
        <v>30</v>
      </c>
      <c r="AV142" s="1" t="s">
        <v>640</v>
      </c>
      <c r="AW142" s="1" t="s">
        <v>484</v>
      </c>
      <c r="AX142" s="1" t="s">
        <v>524</v>
      </c>
      <c r="AY142" s="1" t="s">
        <v>151</v>
      </c>
      <c r="AZ142" s="1" t="s">
        <v>937</v>
      </c>
      <c r="BA142" s="1" t="s">
        <v>641</v>
      </c>
      <c r="BB142" s="1" t="s">
        <v>152</v>
      </c>
      <c r="BC142" s="1" t="s">
        <v>487</v>
      </c>
      <c r="BD142" s="5" t="s">
        <v>642</v>
      </c>
    </row>
    <row r="143" spans="1:56" ht="15.75" customHeight="1">
      <c r="A143" s="1">
        <f t="shared" si="0"/>
        <v>30029</v>
      </c>
      <c r="B143" s="1">
        <v>2</v>
      </c>
      <c r="C143" s="1">
        <v>1</v>
      </c>
      <c r="D143" s="1">
        <v>3</v>
      </c>
      <c r="E143" s="1">
        <f t="shared" si="1"/>
        <v>1</v>
      </c>
      <c r="I143" s="1">
        <v>7.0000000000000007E-2</v>
      </c>
      <c r="K143" s="1">
        <v>13</v>
      </c>
      <c r="S143" s="1">
        <v>14</v>
      </c>
      <c r="T143" s="1"/>
      <c r="AC143" s="1">
        <v>2</v>
      </c>
      <c r="AU143" s="1">
        <v>35</v>
      </c>
      <c r="AV143" s="1" t="s">
        <v>640</v>
      </c>
      <c r="AW143" s="1" t="s">
        <v>489</v>
      </c>
      <c r="AX143" s="1" t="s">
        <v>524</v>
      </c>
      <c r="AY143" s="1" t="s">
        <v>151</v>
      </c>
      <c r="AZ143" s="1" t="s">
        <v>937</v>
      </c>
      <c r="BA143" s="1" t="s">
        <v>641</v>
      </c>
      <c r="BB143" s="1" t="s">
        <v>478</v>
      </c>
      <c r="BC143" s="1" t="s">
        <v>487</v>
      </c>
      <c r="BD143" s="5" t="s">
        <v>642</v>
      </c>
    </row>
    <row r="144" spans="1:56" ht="15.75" customHeight="1">
      <c r="A144" s="1">
        <f t="shared" si="0"/>
        <v>30029</v>
      </c>
      <c r="B144" s="1">
        <v>2</v>
      </c>
      <c r="C144" s="1">
        <v>1</v>
      </c>
      <c r="D144" s="1">
        <v>3</v>
      </c>
      <c r="E144" s="1">
        <f t="shared" si="1"/>
        <v>2</v>
      </c>
      <c r="I144" s="1">
        <v>7.4999999999999997E-2</v>
      </c>
      <c r="K144" s="1">
        <v>13</v>
      </c>
      <c r="S144" s="1">
        <v>14</v>
      </c>
      <c r="T144" s="1"/>
      <c r="AC144" s="1">
        <v>3</v>
      </c>
      <c r="AU144" s="1">
        <v>35</v>
      </c>
      <c r="AV144" s="1" t="s">
        <v>640</v>
      </c>
      <c r="AW144" s="1" t="s">
        <v>490</v>
      </c>
      <c r="AX144" s="1" t="s">
        <v>527</v>
      </c>
      <c r="AY144" s="1" t="s">
        <v>151</v>
      </c>
      <c r="AZ144" s="1" t="s">
        <v>937</v>
      </c>
      <c r="BA144" s="1" t="s">
        <v>641</v>
      </c>
      <c r="BB144" s="1" t="s">
        <v>478</v>
      </c>
      <c r="BC144" s="1" t="s">
        <v>487</v>
      </c>
      <c r="BD144" s="5" t="s">
        <v>642</v>
      </c>
    </row>
    <row r="145" spans="1:56" ht="15.75" customHeight="1">
      <c r="A145" s="1">
        <f t="shared" si="0"/>
        <v>30029</v>
      </c>
      <c r="B145" s="1">
        <v>2</v>
      </c>
      <c r="C145" s="1">
        <v>1</v>
      </c>
      <c r="D145" s="1">
        <v>3</v>
      </c>
      <c r="E145" s="1">
        <f t="shared" si="1"/>
        <v>3</v>
      </c>
      <c r="I145" s="1">
        <v>0.08</v>
      </c>
      <c r="K145" s="1">
        <v>17</v>
      </c>
      <c r="S145" s="1">
        <v>14</v>
      </c>
      <c r="T145" s="1"/>
      <c r="AC145" s="1">
        <v>3</v>
      </c>
      <c r="AU145" s="1">
        <v>35</v>
      </c>
      <c r="AV145" s="1" t="s">
        <v>640</v>
      </c>
      <c r="AW145" s="1" t="s">
        <v>492</v>
      </c>
      <c r="AX145" s="1" t="s">
        <v>527</v>
      </c>
      <c r="AY145" s="1" t="s">
        <v>493</v>
      </c>
      <c r="AZ145" s="1" t="s">
        <v>937</v>
      </c>
      <c r="BA145" s="1" t="s">
        <v>641</v>
      </c>
      <c r="BB145" s="1" t="s">
        <v>478</v>
      </c>
      <c r="BC145" s="1" t="s">
        <v>487</v>
      </c>
      <c r="BD145" s="5" t="s">
        <v>642</v>
      </c>
    </row>
    <row r="146" spans="1:56" ht="15.75" customHeight="1">
      <c r="A146" s="1">
        <f t="shared" si="0"/>
        <v>30029</v>
      </c>
      <c r="B146" s="1">
        <v>2</v>
      </c>
      <c r="C146" s="1">
        <v>1</v>
      </c>
      <c r="D146" s="1">
        <v>3</v>
      </c>
      <c r="E146" s="1">
        <f t="shared" si="1"/>
        <v>4</v>
      </c>
      <c r="I146" s="1">
        <v>8.5000000000000006E-2</v>
      </c>
      <c r="K146" s="1">
        <v>17</v>
      </c>
      <c r="S146" s="1">
        <v>18</v>
      </c>
      <c r="T146" s="1"/>
      <c r="AC146" s="1">
        <v>3</v>
      </c>
      <c r="AU146" s="1">
        <v>40</v>
      </c>
      <c r="AV146" s="1" t="s">
        <v>640</v>
      </c>
      <c r="AW146" s="1" t="s">
        <v>494</v>
      </c>
      <c r="AX146" s="1" t="s">
        <v>527</v>
      </c>
      <c r="AY146" s="1" t="s">
        <v>493</v>
      </c>
      <c r="AZ146" s="1" t="s">
        <v>962</v>
      </c>
      <c r="BA146" s="1" t="s">
        <v>641</v>
      </c>
      <c r="BB146" s="1" t="s">
        <v>482</v>
      </c>
      <c r="BC146" s="1" t="s">
        <v>487</v>
      </c>
      <c r="BD146" s="5" t="s">
        <v>642</v>
      </c>
    </row>
    <row r="147" spans="1:56" ht="15.75" customHeight="1">
      <c r="A147" s="1">
        <f t="shared" si="0"/>
        <v>30030</v>
      </c>
      <c r="B147" s="1">
        <v>1</v>
      </c>
      <c r="C147" s="1">
        <v>2</v>
      </c>
      <c r="D147" s="1">
        <v>3</v>
      </c>
      <c r="E147" s="1">
        <f t="shared" si="1"/>
        <v>0</v>
      </c>
      <c r="I147" s="1">
        <v>6.5000000000000002E-2</v>
      </c>
      <c r="K147" s="1">
        <v>13</v>
      </c>
      <c r="U147" s="1">
        <v>5</v>
      </c>
      <c r="Y147" s="1">
        <v>7</v>
      </c>
      <c r="AU147" s="1">
        <v>30</v>
      </c>
      <c r="AV147" s="1" t="s">
        <v>643</v>
      </c>
      <c r="AW147" s="1" t="s">
        <v>497</v>
      </c>
      <c r="AX147" s="1" t="s">
        <v>644</v>
      </c>
      <c r="AY147" s="1" t="s">
        <v>221</v>
      </c>
      <c r="AZ147" s="1" t="s">
        <v>226</v>
      </c>
      <c r="BA147" s="1" t="s">
        <v>645</v>
      </c>
      <c r="BB147" s="1" t="s">
        <v>214</v>
      </c>
      <c r="BC147" s="1" t="s">
        <v>487</v>
      </c>
      <c r="BD147" s="5" t="s">
        <v>646</v>
      </c>
    </row>
    <row r="148" spans="1:56" ht="15.75" customHeight="1">
      <c r="A148" s="1">
        <f t="shared" si="0"/>
        <v>30030</v>
      </c>
      <c r="B148" s="1">
        <v>1</v>
      </c>
      <c r="C148" s="1">
        <v>2</v>
      </c>
      <c r="D148" s="1">
        <v>3</v>
      </c>
      <c r="E148" s="1">
        <f t="shared" si="1"/>
        <v>1</v>
      </c>
      <c r="I148" s="1">
        <v>7.0000000000000007E-2</v>
      </c>
      <c r="K148" s="1">
        <v>13</v>
      </c>
      <c r="U148" s="1">
        <v>5</v>
      </c>
      <c r="Y148" s="1">
        <v>7</v>
      </c>
      <c r="AU148" s="1">
        <v>35</v>
      </c>
      <c r="AV148" s="1" t="s">
        <v>643</v>
      </c>
      <c r="AW148" s="1" t="s">
        <v>502</v>
      </c>
      <c r="AX148" s="1" t="s">
        <v>644</v>
      </c>
      <c r="AY148" s="1" t="s">
        <v>221</v>
      </c>
      <c r="AZ148" s="1" t="s">
        <v>226</v>
      </c>
      <c r="BA148" s="1" t="s">
        <v>645</v>
      </c>
      <c r="BB148" s="1" t="s">
        <v>503</v>
      </c>
      <c r="BC148" s="1" t="s">
        <v>487</v>
      </c>
      <c r="BD148" s="5" t="s">
        <v>647</v>
      </c>
    </row>
    <row r="149" spans="1:56" ht="15.75" customHeight="1">
      <c r="A149" s="1">
        <f t="shared" si="0"/>
        <v>30030</v>
      </c>
      <c r="B149" s="1">
        <v>1</v>
      </c>
      <c r="C149" s="1">
        <v>2</v>
      </c>
      <c r="D149" s="1">
        <v>3</v>
      </c>
      <c r="E149" s="1">
        <f t="shared" si="1"/>
        <v>2</v>
      </c>
      <c r="I149" s="1">
        <v>7.4999999999999997E-2</v>
      </c>
      <c r="K149" s="1">
        <v>13</v>
      </c>
      <c r="U149" s="1">
        <v>5</v>
      </c>
      <c r="Y149" s="1">
        <v>9</v>
      </c>
      <c r="AU149" s="1">
        <v>35</v>
      </c>
      <c r="AV149" s="1" t="s">
        <v>643</v>
      </c>
      <c r="AW149" s="1" t="s">
        <v>504</v>
      </c>
      <c r="AX149" s="1" t="s">
        <v>648</v>
      </c>
      <c r="AY149" s="1" t="s">
        <v>221</v>
      </c>
      <c r="AZ149" s="1" t="s">
        <v>226</v>
      </c>
      <c r="BA149" s="1" t="s">
        <v>645</v>
      </c>
      <c r="BB149" s="1" t="s">
        <v>503</v>
      </c>
      <c r="BC149" s="1" t="s">
        <v>487</v>
      </c>
      <c r="BD149" s="5" t="s">
        <v>649</v>
      </c>
    </row>
    <row r="150" spans="1:56" ht="15.75" customHeight="1">
      <c r="A150" s="1">
        <f t="shared" si="0"/>
        <v>30030</v>
      </c>
      <c r="B150" s="1">
        <v>1</v>
      </c>
      <c r="C150" s="1">
        <v>2</v>
      </c>
      <c r="D150" s="1">
        <v>3</v>
      </c>
      <c r="E150" s="1">
        <f t="shared" si="1"/>
        <v>3</v>
      </c>
      <c r="I150" s="1">
        <v>0.08</v>
      </c>
      <c r="K150" s="1">
        <v>17</v>
      </c>
      <c r="U150" s="1">
        <v>5</v>
      </c>
      <c r="Y150" s="1">
        <v>9</v>
      </c>
      <c r="AU150" s="1">
        <v>35</v>
      </c>
      <c r="AV150" s="1" t="s">
        <v>643</v>
      </c>
      <c r="AW150" s="1" t="s">
        <v>506</v>
      </c>
      <c r="AX150" s="1" t="s">
        <v>648</v>
      </c>
      <c r="AY150" s="1" t="s">
        <v>538</v>
      </c>
      <c r="AZ150" s="1" t="s">
        <v>226</v>
      </c>
      <c r="BA150" s="1" t="s">
        <v>645</v>
      </c>
      <c r="BB150" s="1" t="s">
        <v>503</v>
      </c>
      <c r="BC150" s="1" t="s">
        <v>487</v>
      </c>
      <c r="BD150" s="5" t="s">
        <v>650</v>
      </c>
    </row>
    <row r="151" spans="1:56" ht="15.75" customHeight="1">
      <c r="A151" s="1">
        <f t="shared" si="0"/>
        <v>30030</v>
      </c>
      <c r="B151" s="1">
        <v>1</v>
      </c>
      <c r="C151" s="1">
        <v>2</v>
      </c>
      <c r="D151" s="1">
        <v>3</v>
      </c>
      <c r="E151" s="1">
        <f t="shared" si="1"/>
        <v>4</v>
      </c>
      <c r="I151" s="1">
        <v>8.5000000000000006E-2</v>
      </c>
      <c r="K151" s="1">
        <v>17</v>
      </c>
      <c r="U151" s="1">
        <v>7</v>
      </c>
      <c r="Y151" s="1">
        <v>9</v>
      </c>
      <c r="AU151" s="1">
        <v>40</v>
      </c>
      <c r="AV151" s="1" t="s">
        <v>643</v>
      </c>
      <c r="AW151" s="1" t="s">
        <v>508</v>
      </c>
      <c r="AX151" s="1" t="s">
        <v>648</v>
      </c>
      <c r="AY151" s="1" t="s">
        <v>538</v>
      </c>
      <c r="AZ151" s="1" t="s">
        <v>651</v>
      </c>
      <c r="BA151" s="1" t="s">
        <v>645</v>
      </c>
      <c r="BB151" s="1" t="s">
        <v>510</v>
      </c>
      <c r="BC151" s="1" t="s">
        <v>487</v>
      </c>
      <c r="BD151" s="5" t="s">
        <v>652</v>
      </c>
    </row>
    <row r="152" spans="1:56" ht="15.75" customHeight="1">
      <c r="A152" s="1">
        <f t="shared" si="0"/>
        <v>30031</v>
      </c>
      <c r="B152" s="1">
        <v>1</v>
      </c>
      <c r="C152" s="1">
        <v>2</v>
      </c>
      <c r="D152" s="1">
        <v>3</v>
      </c>
      <c r="E152" s="1">
        <f t="shared" si="1"/>
        <v>0</v>
      </c>
      <c r="H152" s="1">
        <v>30</v>
      </c>
      <c r="I152" s="1">
        <v>6.5000000000000002E-2</v>
      </c>
      <c r="K152" s="1">
        <v>13</v>
      </c>
      <c r="Q152" s="1">
        <v>11</v>
      </c>
      <c r="R152" s="1"/>
      <c r="AU152" s="1">
        <v>30</v>
      </c>
      <c r="AV152" s="1" t="s">
        <v>653</v>
      </c>
      <c r="AW152" s="1" t="s">
        <v>497</v>
      </c>
      <c r="AX152" s="1" t="s">
        <v>182</v>
      </c>
      <c r="AY152" s="1" t="s">
        <v>221</v>
      </c>
      <c r="AZ152" s="1" t="s">
        <v>584</v>
      </c>
      <c r="BA152" s="1" t="s">
        <v>654</v>
      </c>
      <c r="BB152" s="1" t="s">
        <v>214</v>
      </c>
      <c r="BC152" s="1" t="s">
        <v>487</v>
      </c>
      <c r="BD152" s="5" t="s">
        <v>655</v>
      </c>
    </row>
    <row r="153" spans="1:56" ht="15.75" customHeight="1">
      <c r="A153" s="1">
        <f t="shared" si="0"/>
        <v>30031</v>
      </c>
      <c r="B153" s="1">
        <v>1</v>
      </c>
      <c r="C153" s="1">
        <v>2</v>
      </c>
      <c r="D153" s="1">
        <v>3</v>
      </c>
      <c r="E153" s="1">
        <f t="shared" si="1"/>
        <v>1</v>
      </c>
      <c r="H153" s="1">
        <v>30</v>
      </c>
      <c r="I153" s="1">
        <v>7.0000000000000007E-2</v>
      </c>
      <c r="K153" s="1">
        <v>13</v>
      </c>
      <c r="Q153" s="1">
        <v>11</v>
      </c>
      <c r="R153" s="1"/>
      <c r="AU153" s="1">
        <v>35</v>
      </c>
      <c r="AV153" s="1" t="s">
        <v>653</v>
      </c>
      <c r="AW153" s="1" t="s">
        <v>502</v>
      </c>
      <c r="AX153" s="1" t="s">
        <v>182</v>
      </c>
      <c r="AY153" s="1" t="s">
        <v>221</v>
      </c>
      <c r="AZ153" s="1" t="s">
        <v>584</v>
      </c>
      <c r="BA153" s="1" t="s">
        <v>654</v>
      </c>
      <c r="BB153" s="1" t="s">
        <v>503</v>
      </c>
      <c r="BC153" s="1" t="s">
        <v>487</v>
      </c>
      <c r="BD153" s="5" t="s">
        <v>656</v>
      </c>
    </row>
    <row r="154" spans="1:56" ht="15.75" customHeight="1">
      <c r="A154" s="1">
        <f t="shared" si="0"/>
        <v>30031</v>
      </c>
      <c r="B154" s="1">
        <v>1</v>
      </c>
      <c r="C154" s="1">
        <v>2</v>
      </c>
      <c r="D154" s="1">
        <v>3</v>
      </c>
      <c r="E154" s="1">
        <f t="shared" si="1"/>
        <v>2</v>
      </c>
      <c r="H154" s="1">
        <v>40</v>
      </c>
      <c r="I154" s="1">
        <v>7.4999999999999997E-2</v>
      </c>
      <c r="K154" s="1">
        <v>13</v>
      </c>
      <c r="Q154" s="1">
        <v>11</v>
      </c>
      <c r="R154" s="1"/>
      <c r="AU154" s="1">
        <v>35</v>
      </c>
      <c r="AV154" s="1" t="s">
        <v>653</v>
      </c>
      <c r="AW154" s="1" t="s">
        <v>504</v>
      </c>
      <c r="AX154" s="1" t="s">
        <v>479</v>
      </c>
      <c r="AY154" s="1" t="s">
        <v>221</v>
      </c>
      <c r="AZ154" s="1" t="s">
        <v>584</v>
      </c>
      <c r="BA154" s="1" t="s">
        <v>654</v>
      </c>
      <c r="BB154" s="1" t="s">
        <v>503</v>
      </c>
      <c r="BC154" s="1" t="s">
        <v>487</v>
      </c>
      <c r="BD154" s="5" t="s">
        <v>657</v>
      </c>
    </row>
    <row r="155" spans="1:56" ht="15.75" customHeight="1">
      <c r="A155" s="1">
        <f t="shared" si="0"/>
        <v>30031</v>
      </c>
      <c r="B155" s="1">
        <v>1</v>
      </c>
      <c r="C155" s="1">
        <v>2</v>
      </c>
      <c r="D155" s="1">
        <v>3</v>
      </c>
      <c r="E155" s="1">
        <f t="shared" si="1"/>
        <v>3</v>
      </c>
      <c r="H155" s="1">
        <v>40</v>
      </c>
      <c r="I155" s="1">
        <v>0.08</v>
      </c>
      <c r="K155" s="1">
        <v>17</v>
      </c>
      <c r="Q155" s="1">
        <v>11</v>
      </c>
      <c r="R155" s="1"/>
      <c r="AU155" s="1">
        <v>35</v>
      </c>
      <c r="AV155" s="1" t="s">
        <v>653</v>
      </c>
      <c r="AW155" s="1" t="s">
        <v>506</v>
      </c>
      <c r="AX155" s="1" t="s">
        <v>479</v>
      </c>
      <c r="AY155" s="1" t="s">
        <v>538</v>
      </c>
      <c r="AZ155" s="1" t="s">
        <v>584</v>
      </c>
      <c r="BA155" s="1" t="s">
        <v>654</v>
      </c>
      <c r="BB155" s="1" t="s">
        <v>503</v>
      </c>
      <c r="BC155" s="1" t="s">
        <v>487</v>
      </c>
      <c r="BD155" s="5" t="s">
        <v>658</v>
      </c>
    </row>
    <row r="156" spans="1:56" ht="15.75" customHeight="1">
      <c r="A156" s="1">
        <f t="shared" si="0"/>
        <v>30031</v>
      </c>
      <c r="B156" s="1">
        <v>1</v>
      </c>
      <c r="C156" s="1">
        <v>2</v>
      </c>
      <c r="D156" s="1">
        <v>3</v>
      </c>
      <c r="E156" s="1">
        <f t="shared" si="1"/>
        <v>4</v>
      </c>
      <c r="H156" s="1">
        <v>40</v>
      </c>
      <c r="I156" s="1">
        <v>8.5000000000000006E-2</v>
      </c>
      <c r="K156" s="1">
        <v>17</v>
      </c>
      <c r="Q156" s="1">
        <v>15</v>
      </c>
      <c r="R156" s="1"/>
      <c r="AU156" s="1">
        <v>40</v>
      </c>
      <c r="AV156" s="1" t="s">
        <v>653</v>
      </c>
      <c r="AW156" s="1" t="s">
        <v>508</v>
      </c>
      <c r="AX156" s="1" t="s">
        <v>479</v>
      </c>
      <c r="AY156" s="1" t="s">
        <v>538</v>
      </c>
      <c r="AZ156" s="1" t="s">
        <v>588</v>
      </c>
      <c r="BA156" s="1" t="s">
        <v>654</v>
      </c>
      <c r="BB156" s="1" t="s">
        <v>510</v>
      </c>
      <c r="BC156" s="1" t="s">
        <v>487</v>
      </c>
      <c r="BD156" s="5" t="s">
        <v>659</v>
      </c>
    </row>
    <row r="157" spans="1:56" ht="15.75" customHeight="1">
      <c r="A157" s="1">
        <f t="shared" si="0"/>
        <v>30032</v>
      </c>
      <c r="B157" s="1">
        <v>0</v>
      </c>
      <c r="C157" s="1">
        <v>1</v>
      </c>
      <c r="D157" s="1">
        <v>3</v>
      </c>
      <c r="E157" s="1">
        <f t="shared" si="1"/>
        <v>0</v>
      </c>
      <c r="F157" s="1">
        <v>21</v>
      </c>
      <c r="G157" s="1">
        <v>52</v>
      </c>
      <c r="O157" s="1">
        <v>12</v>
      </c>
      <c r="P157" s="1"/>
      <c r="AD157" s="1">
        <v>3</v>
      </c>
      <c r="AU157" s="1">
        <v>30</v>
      </c>
      <c r="AV157" s="1" t="s">
        <v>660</v>
      </c>
      <c r="AW157" s="1" t="s">
        <v>946</v>
      </c>
      <c r="AX157" s="1" t="s">
        <v>161</v>
      </c>
      <c r="AY157" s="1" t="s">
        <v>661</v>
      </c>
      <c r="AZ157" s="1" t="s">
        <v>636</v>
      </c>
      <c r="BA157" s="1" t="s">
        <v>662</v>
      </c>
      <c r="BB157" s="1" t="s">
        <v>167</v>
      </c>
      <c r="BC157" s="1" t="s">
        <v>487</v>
      </c>
      <c r="BD157" s="1" t="s">
        <v>663</v>
      </c>
    </row>
    <row r="158" spans="1:56" ht="15.75" customHeight="1">
      <c r="A158" s="1">
        <f t="shared" si="0"/>
        <v>30032</v>
      </c>
      <c r="B158" s="1">
        <v>0</v>
      </c>
      <c r="C158" s="1">
        <v>1</v>
      </c>
      <c r="D158" s="1">
        <v>3</v>
      </c>
      <c r="E158" s="1">
        <f t="shared" si="1"/>
        <v>1</v>
      </c>
      <c r="F158" s="1">
        <v>21</v>
      </c>
      <c r="G158" s="1">
        <v>55</v>
      </c>
      <c r="O158" s="1">
        <v>12</v>
      </c>
      <c r="P158" s="1"/>
      <c r="AD158" s="1">
        <v>3</v>
      </c>
      <c r="AU158" s="1">
        <v>35</v>
      </c>
      <c r="AV158" s="1" t="s">
        <v>660</v>
      </c>
      <c r="AW158" s="1" t="s">
        <v>949</v>
      </c>
      <c r="AX158" s="1" t="s">
        <v>161</v>
      </c>
      <c r="AY158" s="1" t="s">
        <v>661</v>
      </c>
      <c r="AZ158" s="1" t="s">
        <v>636</v>
      </c>
      <c r="BA158" s="1" t="s">
        <v>662</v>
      </c>
      <c r="BB158" s="1" t="s">
        <v>516</v>
      </c>
      <c r="BC158" s="1" t="s">
        <v>487</v>
      </c>
      <c r="BD158" s="1" t="s">
        <v>663</v>
      </c>
    </row>
    <row r="159" spans="1:56" ht="15.75" customHeight="1">
      <c r="A159" s="1">
        <f t="shared" si="0"/>
        <v>30032</v>
      </c>
      <c r="B159" s="1">
        <v>0</v>
      </c>
      <c r="C159" s="1">
        <v>1</v>
      </c>
      <c r="D159" s="1">
        <v>3</v>
      </c>
      <c r="E159" s="1">
        <f t="shared" si="1"/>
        <v>2</v>
      </c>
      <c r="F159" s="1">
        <v>28</v>
      </c>
      <c r="G159" s="1">
        <v>59</v>
      </c>
      <c r="O159" s="1">
        <v>12</v>
      </c>
      <c r="P159" s="1"/>
      <c r="AD159" s="1">
        <v>3</v>
      </c>
      <c r="AU159" s="1">
        <v>35</v>
      </c>
      <c r="AV159" s="1" t="s">
        <v>660</v>
      </c>
      <c r="AW159" s="1" t="s">
        <v>952</v>
      </c>
      <c r="AX159" s="1" t="s">
        <v>544</v>
      </c>
      <c r="AY159" s="1" t="s">
        <v>661</v>
      </c>
      <c r="AZ159" s="1" t="s">
        <v>636</v>
      </c>
      <c r="BA159" s="1" t="s">
        <v>662</v>
      </c>
      <c r="BB159" s="1" t="s">
        <v>516</v>
      </c>
      <c r="BC159" s="1" t="s">
        <v>487</v>
      </c>
      <c r="BD159" s="1" t="s">
        <v>663</v>
      </c>
    </row>
    <row r="160" spans="1:56" ht="15.75" customHeight="1">
      <c r="A160" s="1">
        <f t="shared" si="0"/>
        <v>30032</v>
      </c>
      <c r="B160" s="1">
        <v>0</v>
      </c>
      <c r="C160" s="1">
        <v>1</v>
      </c>
      <c r="D160" s="1">
        <v>3</v>
      </c>
      <c r="E160" s="1">
        <f t="shared" si="1"/>
        <v>3</v>
      </c>
      <c r="F160" s="1">
        <v>28</v>
      </c>
      <c r="G160" s="1">
        <v>62</v>
      </c>
      <c r="O160" s="1">
        <v>12</v>
      </c>
      <c r="P160" s="1"/>
      <c r="AD160" s="1">
        <v>4</v>
      </c>
      <c r="AU160" s="1">
        <v>35</v>
      </c>
      <c r="AV160" s="1" t="s">
        <v>660</v>
      </c>
      <c r="AW160" s="1" t="s">
        <v>955</v>
      </c>
      <c r="AX160" s="1" t="s">
        <v>544</v>
      </c>
      <c r="AY160" s="1" t="s">
        <v>664</v>
      </c>
      <c r="AZ160" s="1" t="s">
        <v>636</v>
      </c>
      <c r="BA160" s="1" t="s">
        <v>662</v>
      </c>
      <c r="BB160" s="1" t="s">
        <v>516</v>
      </c>
      <c r="BC160" s="1" t="s">
        <v>487</v>
      </c>
      <c r="BD160" s="1" t="s">
        <v>663</v>
      </c>
    </row>
    <row r="161" spans="1:56" ht="15.75" customHeight="1">
      <c r="A161" s="1">
        <f t="shared" si="0"/>
        <v>30032</v>
      </c>
      <c r="B161" s="1">
        <v>0</v>
      </c>
      <c r="C161" s="1">
        <v>1</v>
      </c>
      <c r="D161" s="1">
        <v>3</v>
      </c>
      <c r="E161" s="1">
        <f t="shared" si="1"/>
        <v>4</v>
      </c>
      <c r="F161" s="1">
        <v>28</v>
      </c>
      <c r="G161" s="1">
        <v>65</v>
      </c>
      <c r="O161" s="1">
        <v>17</v>
      </c>
      <c r="P161" s="1"/>
      <c r="AD161" s="1">
        <v>4</v>
      </c>
      <c r="AU161" s="1">
        <v>40</v>
      </c>
      <c r="AV161" s="1" t="s">
        <v>660</v>
      </c>
      <c r="AW161" s="1" t="s">
        <v>958</v>
      </c>
      <c r="AX161" s="1" t="s">
        <v>544</v>
      </c>
      <c r="AY161" s="1" t="s">
        <v>664</v>
      </c>
      <c r="AZ161" s="1" t="s">
        <v>639</v>
      </c>
      <c r="BA161" s="1" t="s">
        <v>662</v>
      </c>
      <c r="BB161" s="1" t="s">
        <v>522</v>
      </c>
      <c r="BC161" s="1" t="s">
        <v>487</v>
      </c>
      <c r="BD161" s="1" t="s">
        <v>663</v>
      </c>
    </row>
    <row r="162" spans="1:56" ht="15.75" customHeight="1">
      <c r="A162" s="1">
        <f t="shared" si="0"/>
        <v>30033</v>
      </c>
      <c r="B162" s="1">
        <v>1</v>
      </c>
      <c r="C162" s="1">
        <v>1</v>
      </c>
      <c r="D162" s="1">
        <v>3</v>
      </c>
      <c r="E162" s="1">
        <f t="shared" si="1"/>
        <v>0</v>
      </c>
      <c r="I162" s="1">
        <v>6.5000000000000002E-2</v>
      </c>
      <c r="K162" s="1">
        <v>13</v>
      </c>
      <c r="S162" s="1">
        <v>14</v>
      </c>
      <c r="T162" s="1"/>
      <c r="AT162" s="1">
        <v>17</v>
      </c>
      <c r="AU162" s="1">
        <v>30</v>
      </c>
      <c r="AV162" s="1" t="s">
        <v>665</v>
      </c>
      <c r="AW162" s="1" t="s">
        <v>497</v>
      </c>
      <c r="AX162" s="1" t="s">
        <v>935</v>
      </c>
      <c r="AY162" s="1" t="s">
        <v>221</v>
      </c>
      <c r="AZ162" s="1" t="s">
        <v>1086</v>
      </c>
      <c r="BA162" s="1" t="s">
        <v>666</v>
      </c>
      <c r="BB162" s="1" t="s">
        <v>214</v>
      </c>
      <c r="BC162" s="1" t="s">
        <v>487</v>
      </c>
      <c r="BD162" s="5" t="s">
        <v>667</v>
      </c>
    </row>
    <row r="163" spans="1:56" ht="15.75" customHeight="1">
      <c r="A163" s="1">
        <f t="shared" si="0"/>
        <v>30033</v>
      </c>
      <c r="B163" s="1">
        <v>1</v>
      </c>
      <c r="C163" s="1">
        <v>1</v>
      </c>
      <c r="D163" s="1">
        <v>3</v>
      </c>
      <c r="E163" s="1">
        <f t="shared" si="1"/>
        <v>1</v>
      </c>
      <c r="I163" s="1">
        <v>7.0000000000000007E-2</v>
      </c>
      <c r="K163" s="1">
        <v>13</v>
      </c>
      <c r="S163" s="1">
        <v>14</v>
      </c>
      <c r="T163" s="1"/>
      <c r="AT163" s="1">
        <v>17</v>
      </c>
      <c r="AU163" s="1">
        <v>35</v>
      </c>
      <c r="AV163" s="1" t="s">
        <v>665</v>
      </c>
      <c r="AW163" s="1" t="s">
        <v>502</v>
      </c>
      <c r="AX163" s="1" t="s">
        <v>935</v>
      </c>
      <c r="AY163" s="1" t="s">
        <v>221</v>
      </c>
      <c r="AZ163" s="1" t="s">
        <v>1086</v>
      </c>
      <c r="BA163" s="1" t="s">
        <v>666</v>
      </c>
      <c r="BB163" s="1" t="s">
        <v>503</v>
      </c>
      <c r="BC163" s="1" t="s">
        <v>487</v>
      </c>
      <c r="BD163" s="5" t="s">
        <v>667</v>
      </c>
    </row>
    <row r="164" spans="1:56" ht="15.75" customHeight="1">
      <c r="A164" s="1">
        <f t="shared" si="0"/>
        <v>30033</v>
      </c>
      <c r="B164" s="1">
        <v>1</v>
      </c>
      <c r="C164" s="1">
        <v>1</v>
      </c>
      <c r="D164" s="1">
        <v>3</v>
      </c>
      <c r="E164" s="1">
        <f t="shared" si="1"/>
        <v>2</v>
      </c>
      <c r="I164" s="1">
        <v>7.4999999999999997E-2</v>
      </c>
      <c r="K164" s="1">
        <v>13</v>
      </c>
      <c r="S164" s="1">
        <v>18</v>
      </c>
      <c r="T164" s="1"/>
      <c r="AT164" s="1">
        <v>17</v>
      </c>
      <c r="AU164" s="1">
        <v>35</v>
      </c>
      <c r="AV164" s="1" t="s">
        <v>665</v>
      </c>
      <c r="AW164" s="1" t="s">
        <v>504</v>
      </c>
      <c r="AX164" s="1" t="s">
        <v>961</v>
      </c>
      <c r="AY164" s="1" t="s">
        <v>221</v>
      </c>
      <c r="AZ164" s="1" t="s">
        <v>1086</v>
      </c>
      <c r="BA164" s="1" t="s">
        <v>666</v>
      </c>
      <c r="BB164" s="1" t="s">
        <v>503</v>
      </c>
      <c r="BC164" s="1" t="s">
        <v>487</v>
      </c>
      <c r="BD164" s="5" t="s">
        <v>667</v>
      </c>
    </row>
    <row r="165" spans="1:56" ht="15.75" customHeight="1">
      <c r="A165" s="1">
        <f t="shared" si="0"/>
        <v>30033</v>
      </c>
      <c r="B165" s="1">
        <v>1</v>
      </c>
      <c r="C165" s="1">
        <v>1</v>
      </c>
      <c r="D165" s="1">
        <v>3</v>
      </c>
      <c r="E165" s="1">
        <f t="shared" si="1"/>
        <v>3</v>
      </c>
      <c r="I165" s="1">
        <v>0.08</v>
      </c>
      <c r="K165" s="1">
        <v>17</v>
      </c>
      <c r="S165" s="1">
        <v>18</v>
      </c>
      <c r="T165" s="1"/>
      <c r="AT165" s="1">
        <v>17</v>
      </c>
      <c r="AU165" s="1">
        <v>35</v>
      </c>
      <c r="AV165" s="1" t="s">
        <v>665</v>
      </c>
      <c r="AW165" s="1" t="s">
        <v>506</v>
      </c>
      <c r="AX165" s="1" t="s">
        <v>961</v>
      </c>
      <c r="AY165" s="1" t="s">
        <v>538</v>
      </c>
      <c r="AZ165" s="1" t="s">
        <v>1086</v>
      </c>
      <c r="BA165" s="1" t="s">
        <v>666</v>
      </c>
      <c r="BB165" s="1" t="s">
        <v>503</v>
      </c>
      <c r="BC165" s="1" t="s">
        <v>487</v>
      </c>
      <c r="BD165" s="5" t="s">
        <v>667</v>
      </c>
    </row>
    <row r="166" spans="1:56" ht="15.75" customHeight="1">
      <c r="A166" s="1">
        <f t="shared" si="0"/>
        <v>30033</v>
      </c>
      <c r="B166" s="1">
        <v>1</v>
      </c>
      <c r="C166" s="1">
        <v>1</v>
      </c>
      <c r="D166" s="1">
        <v>3</v>
      </c>
      <c r="E166" s="1">
        <f t="shared" si="1"/>
        <v>4</v>
      </c>
      <c r="I166" s="1">
        <v>8.5000000000000006E-2</v>
      </c>
      <c r="K166" s="1">
        <v>17</v>
      </c>
      <c r="S166" s="1">
        <v>18</v>
      </c>
      <c r="T166" s="1"/>
      <c r="AT166" s="1">
        <v>22</v>
      </c>
      <c r="AU166" s="1">
        <v>40</v>
      </c>
      <c r="AV166" s="1" t="s">
        <v>665</v>
      </c>
      <c r="AW166" s="1" t="s">
        <v>508</v>
      </c>
      <c r="AX166" s="1" t="s">
        <v>961</v>
      </c>
      <c r="AY166" s="1" t="s">
        <v>538</v>
      </c>
      <c r="AZ166" s="1" t="s">
        <v>1087</v>
      </c>
      <c r="BA166" s="1" t="s">
        <v>666</v>
      </c>
      <c r="BB166" s="1" t="s">
        <v>510</v>
      </c>
      <c r="BC166" s="1" t="s">
        <v>487</v>
      </c>
      <c r="BD166" s="5" t="s">
        <v>667</v>
      </c>
    </row>
    <row r="167" spans="1:56" ht="15.75" customHeight="1">
      <c r="A167" s="1">
        <f t="shared" si="0"/>
        <v>30034</v>
      </c>
      <c r="B167" s="1">
        <v>2</v>
      </c>
      <c r="C167" s="1">
        <v>2</v>
      </c>
      <c r="D167" s="1">
        <v>3</v>
      </c>
      <c r="E167" s="1">
        <f t="shared" si="1"/>
        <v>0</v>
      </c>
      <c r="F167" s="1">
        <v>21</v>
      </c>
      <c r="G167" s="1">
        <v>52</v>
      </c>
      <c r="S167" s="1">
        <v>14</v>
      </c>
      <c r="T167" s="1"/>
      <c r="AB167" s="1">
        <v>2</v>
      </c>
      <c r="AU167" s="1">
        <v>30</v>
      </c>
      <c r="AV167" s="1" t="s">
        <v>668</v>
      </c>
      <c r="AW167" s="1" t="s">
        <v>944</v>
      </c>
      <c r="AX167" s="1" t="s">
        <v>146</v>
      </c>
      <c r="AY167" s="1" t="s">
        <v>529</v>
      </c>
      <c r="AZ167" s="1" t="s">
        <v>937</v>
      </c>
      <c r="BA167" s="1" t="s">
        <v>669</v>
      </c>
      <c r="BB167" s="1" t="s">
        <v>152</v>
      </c>
      <c r="BC167" s="1" t="s">
        <v>487</v>
      </c>
      <c r="BD167" s="5" t="s">
        <v>1049</v>
      </c>
    </row>
    <row r="168" spans="1:56" ht="15.75" customHeight="1">
      <c r="A168" s="1">
        <f t="shared" si="0"/>
        <v>30034</v>
      </c>
      <c r="B168" s="1">
        <v>2</v>
      </c>
      <c r="C168" s="1">
        <v>2</v>
      </c>
      <c r="D168" s="1">
        <v>3</v>
      </c>
      <c r="E168" s="1">
        <f t="shared" si="1"/>
        <v>1</v>
      </c>
      <c r="F168" s="1">
        <v>21</v>
      </c>
      <c r="G168" s="1">
        <v>55</v>
      </c>
      <c r="S168" s="1">
        <v>14</v>
      </c>
      <c r="T168" s="1"/>
      <c r="AB168" s="1">
        <v>2</v>
      </c>
      <c r="AU168" s="1">
        <v>35</v>
      </c>
      <c r="AV168" s="1" t="s">
        <v>668</v>
      </c>
      <c r="AW168" s="1" t="s">
        <v>947</v>
      </c>
      <c r="AX168" s="1" t="s">
        <v>146</v>
      </c>
      <c r="AY168" s="1" t="s">
        <v>529</v>
      </c>
      <c r="AZ168" s="1" t="s">
        <v>937</v>
      </c>
      <c r="BA168" s="1" t="s">
        <v>669</v>
      </c>
      <c r="BB168" s="1" t="s">
        <v>478</v>
      </c>
      <c r="BC168" s="1" t="s">
        <v>487</v>
      </c>
      <c r="BD168" s="5" t="s">
        <v>670</v>
      </c>
    </row>
    <row r="169" spans="1:56" ht="15.75" customHeight="1">
      <c r="A169" s="1">
        <f t="shared" si="0"/>
        <v>30034</v>
      </c>
      <c r="B169" s="1">
        <v>2</v>
      </c>
      <c r="C169" s="1">
        <v>2</v>
      </c>
      <c r="D169" s="1">
        <v>3</v>
      </c>
      <c r="E169" s="1">
        <f t="shared" si="1"/>
        <v>2</v>
      </c>
      <c r="F169" s="1">
        <v>28</v>
      </c>
      <c r="G169" s="1">
        <v>59</v>
      </c>
      <c r="S169" s="1">
        <v>14</v>
      </c>
      <c r="T169" s="1"/>
      <c r="AB169" s="1">
        <v>2</v>
      </c>
      <c r="AU169" s="1">
        <v>35</v>
      </c>
      <c r="AV169" s="1" t="s">
        <v>668</v>
      </c>
      <c r="AW169" s="1" t="s">
        <v>950</v>
      </c>
      <c r="AX169" s="1" t="s">
        <v>532</v>
      </c>
      <c r="AY169" s="1" t="s">
        <v>529</v>
      </c>
      <c r="AZ169" s="1" t="s">
        <v>937</v>
      </c>
      <c r="BA169" s="1" t="s">
        <v>669</v>
      </c>
      <c r="BB169" s="1" t="s">
        <v>478</v>
      </c>
      <c r="BC169" s="1" t="s">
        <v>487</v>
      </c>
      <c r="BD169" s="5" t="s">
        <v>671</v>
      </c>
    </row>
    <row r="170" spans="1:56" ht="15.75" customHeight="1">
      <c r="A170" s="1">
        <f t="shared" si="0"/>
        <v>30034</v>
      </c>
      <c r="B170" s="1">
        <v>2</v>
      </c>
      <c r="C170" s="1">
        <v>2</v>
      </c>
      <c r="D170" s="1">
        <v>3</v>
      </c>
      <c r="E170" s="1">
        <f t="shared" si="1"/>
        <v>3</v>
      </c>
      <c r="F170" s="1">
        <v>28</v>
      </c>
      <c r="G170" s="1">
        <v>62</v>
      </c>
      <c r="S170" s="1">
        <v>14</v>
      </c>
      <c r="T170" s="1"/>
      <c r="AB170" s="1">
        <v>3</v>
      </c>
      <c r="AU170" s="1">
        <v>35</v>
      </c>
      <c r="AV170" s="1" t="s">
        <v>668</v>
      </c>
      <c r="AW170" s="1" t="s">
        <v>953</v>
      </c>
      <c r="AX170" s="1" t="s">
        <v>532</v>
      </c>
      <c r="AY170" s="1" t="s">
        <v>533</v>
      </c>
      <c r="AZ170" s="1" t="s">
        <v>937</v>
      </c>
      <c r="BA170" s="1" t="s">
        <v>669</v>
      </c>
      <c r="BB170" s="1" t="s">
        <v>478</v>
      </c>
      <c r="BC170" s="1" t="s">
        <v>487</v>
      </c>
      <c r="BD170" s="5" t="s">
        <v>672</v>
      </c>
    </row>
    <row r="171" spans="1:56" ht="15.75" customHeight="1">
      <c r="A171" s="1">
        <f t="shared" si="0"/>
        <v>30034</v>
      </c>
      <c r="B171" s="1">
        <v>2</v>
      </c>
      <c r="C171" s="1">
        <v>2</v>
      </c>
      <c r="D171" s="1">
        <v>3</v>
      </c>
      <c r="E171" s="1">
        <f t="shared" si="1"/>
        <v>4</v>
      </c>
      <c r="F171" s="1">
        <v>28</v>
      </c>
      <c r="G171" s="1">
        <v>65</v>
      </c>
      <c r="S171" s="1">
        <v>18</v>
      </c>
      <c r="T171" s="1"/>
      <c r="AB171" s="1">
        <v>3</v>
      </c>
      <c r="AU171" s="1">
        <v>40</v>
      </c>
      <c r="AV171" s="1" t="s">
        <v>668</v>
      </c>
      <c r="AW171" s="1" t="s">
        <v>956</v>
      </c>
      <c r="AX171" s="1" t="s">
        <v>532</v>
      </c>
      <c r="AY171" s="1" t="s">
        <v>533</v>
      </c>
      <c r="AZ171" s="1" t="s">
        <v>962</v>
      </c>
      <c r="BA171" s="1" t="s">
        <v>669</v>
      </c>
      <c r="BB171" s="1" t="s">
        <v>482</v>
      </c>
      <c r="BC171" s="1" t="s">
        <v>487</v>
      </c>
      <c r="BD171" s="5" t="s">
        <v>673</v>
      </c>
    </row>
    <row r="172" spans="1:56" ht="15.75" customHeight="1">
      <c r="A172" s="1">
        <f t="shared" si="0"/>
        <v>30035</v>
      </c>
      <c r="B172" s="1">
        <v>2</v>
      </c>
      <c r="C172" s="1">
        <v>0</v>
      </c>
      <c r="D172" s="1">
        <v>3</v>
      </c>
      <c r="E172" s="1">
        <f t="shared" si="1"/>
        <v>0</v>
      </c>
      <c r="F172" s="1">
        <v>14</v>
      </c>
      <c r="G172" s="1">
        <v>52</v>
      </c>
      <c r="J172" s="1">
        <v>3</v>
      </c>
      <c r="AT172" s="1">
        <v>11</v>
      </c>
      <c r="AU172" s="1">
        <v>30</v>
      </c>
      <c r="AV172" s="1" t="s">
        <v>674</v>
      </c>
      <c r="AW172" s="1" t="s">
        <v>944</v>
      </c>
      <c r="AX172" s="1" t="s">
        <v>675</v>
      </c>
      <c r="AY172" s="1" t="s">
        <v>66</v>
      </c>
      <c r="AZ172" s="1" t="s">
        <v>1088</v>
      </c>
      <c r="BA172" s="1" t="s">
        <v>676</v>
      </c>
      <c r="BB172" s="1" t="s">
        <v>152</v>
      </c>
      <c r="BC172" s="1" t="s">
        <v>487</v>
      </c>
      <c r="BD172" s="5" t="s">
        <v>677</v>
      </c>
    </row>
    <row r="173" spans="1:56" ht="15.75" customHeight="1">
      <c r="A173" s="1">
        <f t="shared" si="0"/>
        <v>30035</v>
      </c>
      <c r="B173" s="1">
        <v>2</v>
      </c>
      <c r="C173" s="1">
        <v>0</v>
      </c>
      <c r="D173" s="1">
        <v>3</v>
      </c>
      <c r="E173" s="1">
        <f t="shared" si="1"/>
        <v>1</v>
      </c>
      <c r="F173" s="1">
        <v>14</v>
      </c>
      <c r="G173" s="1">
        <v>55</v>
      </c>
      <c r="J173" s="1">
        <v>3</v>
      </c>
      <c r="AT173" s="1">
        <v>11</v>
      </c>
      <c r="AU173" s="1">
        <v>35</v>
      </c>
      <c r="AV173" s="1" t="s">
        <v>674</v>
      </c>
      <c r="AW173" s="1" t="s">
        <v>947</v>
      </c>
      <c r="AX173" s="1" t="s">
        <v>675</v>
      </c>
      <c r="AY173" s="1" t="s">
        <v>66</v>
      </c>
      <c r="AZ173" s="1" t="s">
        <v>1088</v>
      </c>
      <c r="BA173" s="1" t="s">
        <v>676</v>
      </c>
      <c r="BB173" s="1" t="s">
        <v>478</v>
      </c>
      <c r="BC173" s="1" t="s">
        <v>487</v>
      </c>
      <c r="BD173" s="5" t="s">
        <v>677</v>
      </c>
    </row>
    <row r="174" spans="1:56" ht="15.75" customHeight="1">
      <c r="A174" s="1">
        <f t="shared" si="0"/>
        <v>30035</v>
      </c>
      <c r="B174" s="1">
        <v>2</v>
      </c>
      <c r="C174" s="1">
        <v>0</v>
      </c>
      <c r="D174" s="1">
        <v>3</v>
      </c>
      <c r="E174" s="1">
        <f t="shared" si="1"/>
        <v>2</v>
      </c>
      <c r="F174" s="1">
        <v>21</v>
      </c>
      <c r="G174" s="1">
        <v>59</v>
      </c>
      <c r="J174" s="1">
        <v>3</v>
      </c>
      <c r="AT174" s="1">
        <v>11</v>
      </c>
      <c r="AU174" s="1">
        <v>35</v>
      </c>
      <c r="AV174" s="1" t="s">
        <v>674</v>
      </c>
      <c r="AW174" s="1" t="s">
        <v>950</v>
      </c>
      <c r="AX174" s="1" t="s">
        <v>146</v>
      </c>
      <c r="AY174" s="1" t="s">
        <v>66</v>
      </c>
      <c r="AZ174" s="1" t="s">
        <v>1088</v>
      </c>
      <c r="BA174" s="1" t="s">
        <v>676</v>
      </c>
      <c r="BB174" s="1" t="s">
        <v>478</v>
      </c>
      <c r="BC174" s="1" t="s">
        <v>487</v>
      </c>
      <c r="BD174" s="5" t="s">
        <v>677</v>
      </c>
    </row>
    <row r="175" spans="1:56" ht="15.75" customHeight="1">
      <c r="A175" s="1">
        <f t="shared" si="0"/>
        <v>30035</v>
      </c>
      <c r="B175" s="1">
        <v>2</v>
      </c>
      <c r="C175" s="1">
        <v>0</v>
      </c>
      <c r="D175" s="1">
        <v>3</v>
      </c>
      <c r="E175" s="1">
        <f t="shared" si="1"/>
        <v>3</v>
      </c>
      <c r="F175" s="1">
        <v>21</v>
      </c>
      <c r="G175" s="1">
        <v>62</v>
      </c>
      <c r="J175" s="1">
        <v>3</v>
      </c>
      <c r="AT175" s="1">
        <v>17</v>
      </c>
      <c r="AU175" s="1">
        <v>35</v>
      </c>
      <c r="AV175" s="1" t="s">
        <v>674</v>
      </c>
      <c r="AW175" s="1" t="s">
        <v>953</v>
      </c>
      <c r="AX175" s="1" t="s">
        <v>146</v>
      </c>
      <c r="AY175" s="1" t="s">
        <v>66</v>
      </c>
      <c r="AZ175" s="1" t="s">
        <v>1089</v>
      </c>
      <c r="BA175" s="1" t="s">
        <v>676</v>
      </c>
      <c r="BB175" s="1" t="s">
        <v>478</v>
      </c>
      <c r="BC175" s="1" t="s">
        <v>487</v>
      </c>
      <c r="BD175" s="5" t="s">
        <v>677</v>
      </c>
    </row>
    <row r="176" spans="1:56" ht="15.75" customHeight="1">
      <c r="A176" s="1">
        <f t="shared" si="0"/>
        <v>30035</v>
      </c>
      <c r="B176" s="1">
        <v>2</v>
      </c>
      <c r="C176" s="1">
        <v>0</v>
      </c>
      <c r="D176" s="1">
        <v>3</v>
      </c>
      <c r="E176" s="1">
        <f t="shared" si="1"/>
        <v>4</v>
      </c>
      <c r="F176" s="1">
        <v>21</v>
      </c>
      <c r="G176" s="1">
        <v>65</v>
      </c>
      <c r="J176" s="1">
        <v>4</v>
      </c>
      <c r="AT176" s="1">
        <v>17</v>
      </c>
      <c r="AU176" s="1">
        <v>40</v>
      </c>
      <c r="AV176" s="1" t="s">
        <v>674</v>
      </c>
      <c r="AW176" s="1" t="s">
        <v>956</v>
      </c>
      <c r="AX176" s="1" t="s">
        <v>146</v>
      </c>
      <c r="AY176" s="1" t="s">
        <v>193</v>
      </c>
      <c r="AZ176" s="1" t="s">
        <v>1089</v>
      </c>
      <c r="BA176" s="1" t="s">
        <v>676</v>
      </c>
      <c r="BB176" s="1" t="s">
        <v>482</v>
      </c>
      <c r="BC176" s="1" t="s">
        <v>487</v>
      </c>
      <c r="BD176" s="5" t="s">
        <v>677</v>
      </c>
    </row>
    <row r="177" spans="1:56" ht="15.75" customHeight="1">
      <c r="A177" s="1">
        <f t="shared" si="0"/>
        <v>30036</v>
      </c>
      <c r="B177" s="1">
        <v>0</v>
      </c>
      <c r="C177" s="1">
        <v>0</v>
      </c>
      <c r="D177" s="1">
        <v>3</v>
      </c>
      <c r="E177" s="1">
        <f t="shared" si="1"/>
        <v>0</v>
      </c>
      <c r="F177" s="1">
        <v>14</v>
      </c>
      <c r="G177" s="1">
        <v>52</v>
      </c>
      <c r="S177" s="1">
        <v>9</v>
      </c>
      <c r="T177" s="1"/>
      <c r="AU177" s="1">
        <v>30</v>
      </c>
      <c r="AV177" s="1" t="s">
        <v>678</v>
      </c>
      <c r="AW177" s="1" t="s">
        <v>946</v>
      </c>
      <c r="AX177" s="1" t="s">
        <v>679</v>
      </c>
      <c r="AY177" s="1" t="s">
        <v>680</v>
      </c>
      <c r="AZ177" s="1" t="s">
        <v>959</v>
      </c>
      <c r="BA177" s="1" t="s">
        <v>681</v>
      </c>
      <c r="BB177" s="1" t="s">
        <v>167</v>
      </c>
      <c r="BC177" s="1" t="s">
        <v>487</v>
      </c>
      <c r="BD177" s="5" t="s">
        <v>682</v>
      </c>
    </row>
    <row r="178" spans="1:56" ht="15.75" customHeight="1">
      <c r="A178" s="1">
        <f t="shared" si="0"/>
        <v>30036</v>
      </c>
      <c r="B178" s="1">
        <v>0</v>
      </c>
      <c r="C178" s="1">
        <v>0</v>
      </c>
      <c r="D178" s="1">
        <v>3</v>
      </c>
      <c r="E178" s="1">
        <f t="shared" si="1"/>
        <v>1</v>
      </c>
      <c r="F178" s="1">
        <v>14</v>
      </c>
      <c r="G178" s="1">
        <v>55</v>
      </c>
      <c r="S178" s="1">
        <v>9</v>
      </c>
      <c r="T178" s="1"/>
      <c r="AU178" s="1">
        <v>35</v>
      </c>
      <c r="AV178" s="1" t="s">
        <v>678</v>
      </c>
      <c r="AW178" s="1" t="s">
        <v>949</v>
      </c>
      <c r="AX178" s="1" t="s">
        <v>679</v>
      </c>
      <c r="AY178" s="1" t="s">
        <v>680</v>
      </c>
      <c r="AZ178" s="1" t="s">
        <v>959</v>
      </c>
      <c r="BA178" s="1" t="s">
        <v>681</v>
      </c>
      <c r="BB178" s="1" t="s">
        <v>516</v>
      </c>
      <c r="BC178" s="1" t="s">
        <v>487</v>
      </c>
      <c r="BD178" s="5" t="s">
        <v>682</v>
      </c>
    </row>
    <row r="179" spans="1:56" ht="15.75" customHeight="1">
      <c r="A179" s="1">
        <f t="shared" si="0"/>
        <v>30036</v>
      </c>
      <c r="B179" s="1">
        <v>0</v>
      </c>
      <c r="C179" s="1">
        <v>0</v>
      </c>
      <c r="D179" s="1">
        <v>3</v>
      </c>
      <c r="E179" s="1">
        <f t="shared" si="1"/>
        <v>2</v>
      </c>
      <c r="F179" s="1">
        <v>21</v>
      </c>
      <c r="G179" s="1">
        <v>59</v>
      </c>
      <c r="S179" s="1">
        <v>9</v>
      </c>
      <c r="T179" s="1"/>
      <c r="AU179" s="1">
        <v>35</v>
      </c>
      <c r="AV179" s="1" t="s">
        <v>678</v>
      </c>
      <c r="AW179" s="1" t="s">
        <v>952</v>
      </c>
      <c r="AX179" s="1" t="s">
        <v>161</v>
      </c>
      <c r="AY179" s="1" t="s">
        <v>680</v>
      </c>
      <c r="AZ179" s="1" t="s">
        <v>959</v>
      </c>
      <c r="BA179" s="1" t="s">
        <v>681</v>
      </c>
      <c r="BB179" s="1" t="s">
        <v>516</v>
      </c>
      <c r="BC179" s="1" t="s">
        <v>487</v>
      </c>
      <c r="BD179" s="5" t="s">
        <v>682</v>
      </c>
    </row>
    <row r="180" spans="1:56" ht="15.75" customHeight="1">
      <c r="A180" s="1">
        <f t="shared" si="0"/>
        <v>30036</v>
      </c>
      <c r="B180" s="1">
        <v>0</v>
      </c>
      <c r="C180" s="1">
        <v>0</v>
      </c>
      <c r="D180" s="1">
        <v>3</v>
      </c>
      <c r="E180" s="1">
        <f t="shared" si="1"/>
        <v>3</v>
      </c>
      <c r="F180" s="1">
        <v>21</v>
      </c>
      <c r="G180" s="1">
        <v>62</v>
      </c>
      <c r="S180" s="1">
        <v>14</v>
      </c>
      <c r="T180" s="1"/>
      <c r="AU180" s="1">
        <v>35</v>
      </c>
      <c r="AV180" s="1" t="s">
        <v>678</v>
      </c>
      <c r="AW180" s="1" t="s">
        <v>955</v>
      </c>
      <c r="AX180" s="1" t="s">
        <v>161</v>
      </c>
      <c r="AY180" s="1" t="s">
        <v>680</v>
      </c>
      <c r="AZ180" s="1" t="s">
        <v>936</v>
      </c>
      <c r="BA180" s="1" t="s">
        <v>681</v>
      </c>
      <c r="BB180" s="1" t="s">
        <v>516</v>
      </c>
      <c r="BC180" s="1" t="s">
        <v>487</v>
      </c>
      <c r="BD180" s="5" t="s">
        <v>682</v>
      </c>
    </row>
    <row r="181" spans="1:56" ht="15.75" customHeight="1">
      <c r="A181" s="1">
        <f t="shared" si="0"/>
        <v>30036</v>
      </c>
      <c r="B181" s="1">
        <v>0</v>
      </c>
      <c r="C181" s="1">
        <v>0</v>
      </c>
      <c r="D181" s="1">
        <v>3</v>
      </c>
      <c r="E181" s="1">
        <f t="shared" si="1"/>
        <v>4</v>
      </c>
      <c r="F181" s="1">
        <v>21</v>
      </c>
      <c r="G181" s="1">
        <v>65</v>
      </c>
      <c r="S181" s="1">
        <v>14</v>
      </c>
      <c r="T181" s="1"/>
      <c r="AU181" s="1">
        <v>40</v>
      </c>
      <c r="AV181" s="1" t="s">
        <v>678</v>
      </c>
      <c r="AW181" s="1" t="s">
        <v>958</v>
      </c>
      <c r="AX181" s="1" t="s">
        <v>161</v>
      </c>
      <c r="AY181" s="1" t="s">
        <v>174</v>
      </c>
      <c r="AZ181" s="1" t="s">
        <v>936</v>
      </c>
      <c r="BA181" s="1" t="s">
        <v>681</v>
      </c>
      <c r="BB181" s="1" t="s">
        <v>522</v>
      </c>
      <c r="BC181" s="1" t="s">
        <v>487</v>
      </c>
      <c r="BD181" s="5" t="s">
        <v>682</v>
      </c>
    </row>
    <row r="182" spans="1:56" ht="15.75" customHeight="1">
      <c r="A182" s="1">
        <f t="shared" si="0"/>
        <v>30037</v>
      </c>
      <c r="B182" s="1">
        <v>1</v>
      </c>
      <c r="C182" s="1">
        <v>3</v>
      </c>
      <c r="D182" s="1">
        <v>3</v>
      </c>
      <c r="E182" s="1">
        <f t="shared" si="1"/>
        <v>0</v>
      </c>
      <c r="F182" s="1">
        <v>14</v>
      </c>
      <c r="G182" s="1">
        <v>52</v>
      </c>
      <c r="AT182" s="1">
        <v>11</v>
      </c>
      <c r="AU182" s="1">
        <v>30</v>
      </c>
      <c r="AV182" s="1" t="s">
        <v>683</v>
      </c>
      <c r="AW182" s="1" t="s">
        <v>945</v>
      </c>
      <c r="AX182" s="1" t="s">
        <v>684</v>
      </c>
      <c r="AY182" s="1" t="s">
        <v>685</v>
      </c>
      <c r="AZ182" s="1" t="s">
        <v>1085</v>
      </c>
      <c r="BA182" s="1" t="s">
        <v>686</v>
      </c>
      <c r="BB182" s="1" t="s">
        <v>214</v>
      </c>
      <c r="BC182" s="1" t="s">
        <v>487</v>
      </c>
      <c r="BD182" s="5" t="s">
        <v>687</v>
      </c>
    </row>
    <row r="183" spans="1:56" ht="15.75" customHeight="1">
      <c r="A183" s="1">
        <f t="shared" si="0"/>
        <v>30037</v>
      </c>
      <c r="B183" s="1">
        <v>1</v>
      </c>
      <c r="C183" s="1">
        <v>3</v>
      </c>
      <c r="D183" s="1">
        <v>3</v>
      </c>
      <c r="E183" s="1">
        <f t="shared" si="1"/>
        <v>1</v>
      </c>
      <c r="F183" s="1">
        <v>14</v>
      </c>
      <c r="G183" s="1">
        <v>55</v>
      </c>
      <c r="AT183" s="1">
        <v>11</v>
      </c>
      <c r="AU183" s="1">
        <v>35</v>
      </c>
      <c r="AV183" s="1" t="s">
        <v>683</v>
      </c>
      <c r="AW183" s="1" t="s">
        <v>948</v>
      </c>
      <c r="AX183" s="1" t="s">
        <v>684</v>
      </c>
      <c r="AY183" s="1" t="s">
        <v>685</v>
      </c>
      <c r="AZ183" s="1" t="s">
        <v>1085</v>
      </c>
      <c r="BA183" s="1" t="s">
        <v>686</v>
      </c>
      <c r="BB183" s="1" t="s">
        <v>503</v>
      </c>
      <c r="BC183" s="1" t="s">
        <v>487</v>
      </c>
      <c r="BD183" s="5" t="s">
        <v>687</v>
      </c>
    </row>
    <row r="184" spans="1:56" ht="15.75" customHeight="1">
      <c r="A184" s="1">
        <f t="shared" si="0"/>
        <v>30037</v>
      </c>
      <c r="B184" s="1">
        <v>1</v>
      </c>
      <c r="C184" s="1">
        <v>3</v>
      </c>
      <c r="D184" s="1">
        <v>3</v>
      </c>
      <c r="E184" s="1">
        <f t="shared" si="1"/>
        <v>2</v>
      </c>
      <c r="F184" s="1">
        <v>21</v>
      </c>
      <c r="G184" s="1">
        <v>59</v>
      </c>
      <c r="AT184" s="1">
        <v>11</v>
      </c>
      <c r="AU184" s="1">
        <v>35</v>
      </c>
      <c r="AV184" s="1" t="s">
        <v>683</v>
      </c>
      <c r="AW184" s="1" t="s">
        <v>951</v>
      </c>
      <c r="AX184" s="1" t="s">
        <v>220</v>
      </c>
      <c r="AY184" s="1" t="s">
        <v>685</v>
      </c>
      <c r="AZ184" s="1" t="s">
        <v>1085</v>
      </c>
      <c r="BA184" s="1" t="s">
        <v>686</v>
      </c>
      <c r="BB184" s="1" t="s">
        <v>503</v>
      </c>
      <c r="BC184" s="1" t="s">
        <v>487</v>
      </c>
      <c r="BD184" s="5" t="s">
        <v>687</v>
      </c>
    </row>
    <row r="185" spans="1:56" ht="15.75" customHeight="1">
      <c r="A185" s="1">
        <f t="shared" si="0"/>
        <v>30037</v>
      </c>
      <c r="B185" s="1">
        <v>1</v>
      </c>
      <c r="C185" s="1">
        <v>3</v>
      </c>
      <c r="D185" s="1">
        <v>3</v>
      </c>
      <c r="E185" s="1">
        <f t="shared" si="1"/>
        <v>3</v>
      </c>
      <c r="F185" s="1">
        <v>21</v>
      </c>
      <c r="G185" s="1">
        <v>62</v>
      </c>
      <c r="AT185" s="1">
        <v>17</v>
      </c>
      <c r="AU185" s="1">
        <v>35</v>
      </c>
      <c r="AV185" s="1" t="s">
        <v>683</v>
      </c>
      <c r="AW185" s="1" t="s">
        <v>954</v>
      </c>
      <c r="AX185" s="1" t="s">
        <v>220</v>
      </c>
      <c r="AY185" s="1" t="s">
        <v>685</v>
      </c>
      <c r="AZ185" s="1" t="s">
        <v>1086</v>
      </c>
      <c r="BA185" s="1" t="s">
        <v>686</v>
      </c>
      <c r="BB185" s="1" t="s">
        <v>503</v>
      </c>
      <c r="BC185" s="1" t="s">
        <v>487</v>
      </c>
      <c r="BD185" s="5" t="s">
        <v>687</v>
      </c>
    </row>
    <row r="186" spans="1:56" ht="15.75" customHeight="1">
      <c r="A186" s="1">
        <f t="shared" si="0"/>
        <v>30037</v>
      </c>
      <c r="B186" s="1">
        <v>1</v>
      </c>
      <c r="C186" s="1">
        <v>3</v>
      </c>
      <c r="D186" s="1">
        <v>3</v>
      </c>
      <c r="E186" s="1">
        <f t="shared" si="1"/>
        <v>4</v>
      </c>
      <c r="F186" s="1">
        <v>21</v>
      </c>
      <c r="G186" s="1">
        <v>65</v>
      </c>
      <c r="AT186" s="1">
        <v>17</v>
      </c>
      <c r="AU186" s="1">
        <v>40</v>
      </c>
      <c r="AV186" s="1" t="s">
        <v>683</v>
      </c>
      <c r="AW186" s="1" t="s">
        <v>957</v>
      </c>
      <c r="AX186" s="1" t="s">
        <v>220</v>
      </c>
      <c r="AY186" s="1" t="s">
        <v>688</v>
      </c>
      <c r="AZ186" s="1" t="s">
        <v>1086</v>
      </c>
      <c r="BA186" s="1" t="s">
        <v>686</v>
      </c>
      <c r="BB186" s="1" t="s">
        <v>510</v>
      </c>
      <c r="BC186" s="1" t="s">
        <v>487</v>
      </c>
      <c r="BD186" s="5" t="s">
        <v>687</v>
      </c>
    </row>
    <row r="187" spans="1:56" ht="15.75" customHeight="1">
      <c r="A187" s="1">
        <f t="shared" si="0"/>
        <v>30038</v>
      </c>
      <c r="B187" s="1">
        <v>0</v>
      </c>
      <c r="C187" s="1">
        <v>1</v>
      </c>
      <c r="D187" s="1">
        <v>3</v>
      </c>
      <c r="E187" s="1">
        <f t="shared" si="1"/>
        <v>0</v>
      </c>
      <c r="I187" s="1">
        <v>6.5000000000000002E-2</v>
      </c>
      <c r="K187" s="1">
        <v>9</v>
      </c>
      <c r="Y187" s="1">
        <v>5</v>
      </c>
      <c r="AU187" s="1">
        <v>30</v>
      </c>
      <c r="AV187" s="1" t="s">
        <v>689</v>
      </c>
      <c r="AW187" s="1" t="s">
        <v>512</v>
      </c>
      <c r="AX187" s="1" t="s">
        <v>690</v>
      </c>
      <c r="AY187" s="1" t="s">
        <v>691</v>
      </c>
      <c r="AZ187" s="1" t="s">
        <v>692</v>
      </c>
      <c r="BA187" s="1" t="s">
        <v>693</v>
      </c>
      <c r="BB187" s="1" t="s">
        <v>167</v>
      </c>
      <c r="BC187" s="1" t="s">
        <v>487</v>
      </c>
      <c r="BD187" s="5" t="s">
        <v>694</v>
      </c>
    </row>
    <row r="188" spans="1:56" ht="15.75" customHeight="1">
      <c r="A188" s="1">
        <f t="shared" si="0"/>
        <v>30038</v>
      </c>
      <c r="B188" s="1">
        <v>0</v>
      </c>
      <c r="C188" s="1">
        <v>1</v>
      </c>
      <c r="D188" s="1">
        <v>3</v>
      </c>
      <c r="E188" s="1">
        <f t="shared" si="1"/>
        <v>1</v>
      </c>
      <c r="I188" s="1">
        <v>7.0000000000000007E-2</v>
      </c>
      <c r="K188" s="1">
        <v>9</v>
      </c>
      <c r="Y188" s="1">
        <v>5</v>
      </c>
      <c r="AU188" s="1">
        <v>35</v>
      </c>
      <c r="AV188" s="1" t="s">
        <v>689</v>
      </c>
      <c r="AW188" s="1" t="s">
        <v>515</v>
      </c>
      <c r="AX188" s="1" t="s">
        <v>690</v>
      </c>
      <c r="AY188" s="1" t="s">
        <v>691</v>
      </c>
      <c r="AZ188" s="1" t="s">
        <v>692</v>
      </c>
      <c r="BA188" s="1" t="s">
        <v>693</v>
      </c>
      <c r="BB188" s="1" t="s">
        <v>516</v>
      </c>
      <c r="BC188" s="1" t="s">
        <v>487</v>
      </c>
      <c r="BD188" s="5" t="s">
        <v>694</v>
      </c>
    </row>
    <row r="189" spans="1:56" ht="15.75" customHeight="1">
      <c r="A189" s="1">
        <f t="shared" si="0"/>
        <v>30038</v>
      </c>
      <c r="B189" s="1">
        <v>0</v>
      </c>
      <c r="C189" s="1">
        <v>1</v>
      </c>
      <c r="D189" s="1">
        <v>3</v>
      </c>
      <c r="E189" s="1">
        <f t="shared" si="1"/>
        <v>2</v>
      </c>
      <c r="I189" s="1">
        <v>7.4999999999999997E-2</v>
      </c>
      <c r="K189" s="1">
        <v>9</v>
      </c>
      <c r="Y189" s="1">
        <v>5</v>
      </c>
      <c r="AU189" s="1">
        <v>35</v>
      </c>
      <c r="AV189" s="1" t="s">
        <v>689</v>
      </c>
      <c r="AW189" s="1" t="s">
        <v>517</v>
      </c>
      <c r="AX189" s="1" t="s">
        <v>695</v>
      </c>
      <c r="AY189" s="1" t="s">
        <v>691</v>
      </c>
      <c r="AZ189" s="1" t="s">
        <v>692</v>
      </c>
      <c r="BA189" s="1" t="s">
        <v>693</v>
      </c>
      <c r="BB189" s="1" t="s">
        <v>516</v>
      </c>
      <c r="BC189" s="1" t="s">
        <v>487</v>
      </c>
      <c r="BD189" s="5" t="s">
        <v>694</v>
      </c>
    </row>
    <row r="190" spans="1:56" ht="15.75" customHeight="1">
      <c r="A190" s="1">
        <f t="shared" si="0"/>
        <v>30038</v>
      </c>
      <c r="B190" s="1">
        <v>0</v>
      </c>
      <c r="C190" s="1">
        <v>1</v>
      </c>
      <c r="D190" s="1">
        <v>3</v>
      </c>
      <c r="E190" s="1">
        <f t="shared" si="1"/>
        <v>3</v>
      </c>
      <c r="I190" s="1">
        <v>0.08</v>
      </c>
      <c r="K190" s="1">
        <v>9</v>
      </c>
      <c r="Y190" s="1">
        <v>7</v>
      </c>
      <c r="AU190" s="1">
        <v>35</v>
      </c>
      <c r="AV190" s="1" t="s">
        <v>689</v>
      </c>
      <c r="AW190" s="1" t="s">
        <v>518</v>
      </c>
      <c r="AX190" s="1" t="s">
        <v>695</v>
      </c>
      <c r="AY190" s="1" t="s">
        <v>691</v>
      </c>
      <c r="AZ190" s="1" t="s">
        <v>579</v>
      </c>
      <c r="BA190" s="1" t="s">
        <v>693</v>
      </c>
      <c r="BB190" s="1" t="s">
        <v>516</v>
      </c>
      <c r="BC190" s="1" t="s">
        <v>487</v>
      </c>
      <c r="BD190" s="5" t="s">
        <v>694</v>
      </c>
    </row>
    <row r="191" spans="1:56" ht="15.75" customHeight="1">
      <c r="A191" s="1">
        <f t="shared" si="0"/>
        <v>30038</v>
      </c>
      <c r="B191" s="1">
        <v>0</v>
      </c>
      <c r="C191" s="1">
        <v>1</v>
      </c>
      <c r="D191" s="1">
        <v>3</v>
      </c>
      <c r="E191" s="1">
        <f t="shared" si="1"/>
        <v>4</v>
      </c>
      <c r="I191" s="1">
        <v>8.5000000000000006E-2</v>
      </c>
      <c r="K191" s="1">
        <v>13</v>
      </c>
      <c r="Y191" s="1">
        <v>7</v>
      </c>
      <c r="AU191" s="1">
        <v>40</v>
      </c>
      <c r="AV191" s="1" t="s">
        <v>689</v>
      </c>
      <c r="AW191" s="1" t="s">
        <v>520</v>
      </c>
      <c r="AX191" s="1" t="s">
        <v>695</v>
      </c>
      <c r="AY191" s="1" t="s">
        <v>166</v>
      </c>
      <c r="AZ191" s="1" t="s">
        <v>579</v>
      </c>
      <c r="BA191" s="1" t="s">
        <v>693</v>
      </c>
      <c r="BB191" s="1" t="s">
        <v>522</v>
      </c>
      <c r="BC191" s="1" t="s">
        <v>487</v>
      </c>
      <c r="BD191" s="5" t="s">
        <v>694</v>
      </c>
    </row>
    <row r="192" spans="1:56" ht="15.75" customHeight="1">
      <c r="A192" s="1">
        <f t="shared" si="0"/>
        <v>30039</v>
      </c>
      <c r="B192" s="1">
        <v>1</v>
      </c>
      <c r="C192" s="1">
        <v>2</v>
      </c>
      <c r="D192" s="1">
        <v>3</v>
      </c>
      <c r="E192" s="1">
        <f t="shared" si="1"/>
        <v>0</v>
      </c>
      <c r="I192" s="1">
        <v>6.5000000000000002E-2</v>
      </c>
      <c r="K192" s="1">
        <v>9</v>
      </c>
      <c r="Y192" s="1">
        <v>5</v>
      </c>
      <c r="AU192" s="1">
        <v>30</v>
      </c>
      <c r="AV192" s="1" t="s">
        <v>696</v>
      </c>
      <c r="AW192" s="1" t="s">
        <v>497</v>
      </c>
      <c r="AX192" s="1" t="s">
        <v>697</v>
      </c>
      <c r="AY192" s="1" t="s">
        <v>698</v>
      </c>
      <c r="AZ192" s="1" t="s">
        <v>699</v>
      </c>
      <c r="BA192" s="1" t="s">
        <v>700</v>
      </c>
      <c r="BB192" s="1" t="s">
        <v>214</v>
      </c>
      <c r="BC192" s="1" t="s">
        <v>487</v>
      </c>
      <c r="BD192" s="5" t="s">
        <v>701</v>
      </c>
    </row>
    <row r="193" spans="1:56" ht="15.75" customHeight="1">
      <c r="A193" s="1">
        <f t="shared" si="0"/>
        <v>30039</v>
      </c>
      <c r="B193" s="1">
        <v>1</v>
      </c>
      <c r="C193" s="1">
        <v>2</v>
      </c>
      <c r="D193" s="1">
        <v>3</v>
      </c>
      <c r="E193" s="1">
        <f t="shared" si="1"/>
        <v>1</v>
      </c>
      <c r="I193" s="1">
        <v>7.0000000000000007E-2</v>
      </c>
      <c r="K193" s="1">
        <v>9</v>
      </c>
      <c r="Y193" s="1">
        <v>5</v>
      </c>
      <c r="AU193" s="1">
        <v>35</v>
      </c>
      <c r="AV193" s="1" t="s">
        <v>696</v>
      </c>
      <c r="AW193" s="1" t="s">
        <v>502</v>
      </c>
      <c r="AX193" s="1" t="s">
        <v>697</v>
      </c>
      <c r="AY193" s="1" t="s">
        <v>698</v>
      </c>
      <c r="AZ193" s="1" t="s">
        <v>699</v>
      </c>
      <c r="BA193" s="1" t="s">
        <v>700</v>
      </c>
      <c r="BB193" s="1" t="s">
        <v>503</v>
      </c>
      <c r="BC193" s="1" t="s">
        <v>487</v>
      </c>
      <c r="BD193" s="5" t="s">
        <v>701</v>
      </c>
    </row>
    <row r="194" spans="1:56" ht="15.75" customHeight="1">
      <c r="A194" s="1">
        <f t="shared" si="0"/>
        <v>30039</v>
      </c>
      <c r="B194" s="1">
        <v>1</v>
      </c>
      <c r="C194" s="1">
        <v>2</v>
      </c>
      <c r="D194" s="1">
        <v>3</v>
      </c>
      <c r="E194" s="1">
        <f t="shared" si="1"/>
        <v>2</v>
      </c>
      <c r="I194" s="1">
        <v>7.4999999999999997E-2</v>
      </c>
      <c r="K194" s="1">
        <v>9</v>
      </c>
      <c r="Y194" s="1">
        <v>5</v>
      </c>
      <c r="AU194" s="1">
        <v>35</v>
      </c>
      <c r="AV194" s="1" t="s">
        <v>696</v>
      </c>
      <c r="AW194" s="1" t="s">
        <v>504</v>
      </c>
      <c r="AX194" s="1" t="s">
        <v>565</v>
      </c>
      <c r="AY194" s="1" t="s">
        <v>698</v>
      </c>
      <c r="AZ194" s="1" t="s">
        <v>699</v>
      </c>
      <c r="BA194" s="1" t="s">
        <v>700</v>
      </c>
      <c r="BB194" s="1" t="s">
        <v>503</v>
      </c>
      <c r="BC194" s="1" t="s">
        <v>487</v>
      </c>
      <c r="BD194" s="5" t="s">
        <v>701</v>
      </c>
    </row>
    <row r="195" spans="1:56" ht="15.75" customHeight="1">
      <c r="A195" s="1">
        <f t="shared" si="0"/>
        <v>30039</v>
      </c>
      <c r="B195" s="1">
        <v>1</v>
      </c>
      <c r="C195" s="1">
        <v>2</v>
      </c>
      <c r="D195" s="1">
        <v>3</v>
      </c>
      <c r="E195" s="1">
        <f t="shared" si="1"/>
        <v>3</v>
      </c>
      <c r="I195" s="1">
        <v>0.08</v>
      </c>
      <c r="K195" s="1">
        <v>9</v>
      </c>
      <c r="Y195" s="1">
        <v>7</v>
      </c>
      <c r="AU195" s="1">
        <v>35</v>
      </c>
      <c r="AV195" s="1" t="s">
        <v>696</v>
      </c>
      <c r="AW195" s="1" t="s">
        <v>506</v>
      </c>
      <c r="AX195" s="1" t="s">
        <v>565</v>
      </c>
      <c r="AY195" s="1" t="s">
        <v>698</v>
      </c>
      <c r="AZ195" s="1" t="s">
        <v>644</v>
      </c>
      <c r="BA195" s="1" t="s">
        <v>700</v>
      </c>
      <c r="BB195" s="1" t="s">
        <v>503</v>
      </c>
      <c r="BC195" s="1" t="s">
        <v>487</v>
      </c>
      <c r="BD195" s="5" t="s">
        <v>701</v>
      </c>
    </row>
    <row r="196" spans="1:56" ht="15.75" customHeight="1">
      <c r="A196" s="1">
        <f t="shared" si="0"/>
        <v>30039</v>
      </c>
      <c r="B196" s="1">
        <v>1</v>
      </c>
      <c r="C196" s="1">
        <v>2</v>
      </c>
      <c r="D196" s="1">
        <v>3</v>
      </c>
      <c r="E196" s="1">
        <f t="shared" si="1"/>
        <v>4</v>
      </c>
      <c r="I196" s="1">
        <v>8.5000000000000006E-2</v>
      </c>
      <c r="K196" s="1">
        <v>13</v>
      </c>
      <c r="Y196" s="1">
        <v>7</v>
      </c>
      <c r="AU196" s="1">
        <v>40</v>
      </c>
      <c r="AV196" s="1" t="s">
        <v>696</v>
      </c>
      <c r="AW196" s="1" t="s">
        <v>508</v>
      </c>
      <c r="AX196" s="1" t="s">
        <v>565</v>
      </c>
      <c r="AY196" s="1" t="s">
        <v>221</v>
      </c>
      <c r="AZ196" s="1" t="s">
        <v>644</v>
      </c>
      <c r="BA196" s="1" t="s">
        <v>700</v>
      </c>
      <c r="BB196" s="1" t="s">
        <v>510</v>
      </c>
      <c r="BC196" s="1" t="s">
        <v>487</v>
      </c>
      <c r="BD196" s="5" t="s">
        <v>701</v>
      </c>
    </row>
    <row r="197" spans="1:56" ht="15.75" customHeight="1">
      <c r="A197" s="1">
        <f t="shared" si="0"/>
        <v>30040</v>
      </c>
      <c r="B197" s="1">
        <v>2</v>
      </c>
      <c r="C197" s="1">
        <v>3</v>
      </c>
      <c r="D197" s="1">
        <v>3</v>
      </c>
      <c r="E197" s="1">
        <f t="shared" si="1"/>
        <v>0</v>
      </c>
      <c r="I197" s="1">
        <v>6.5000000000000002E-2</v>
      </c>
      <c r="K197" s="1">
        <v>9</v>
      </c>
      <c r="Y197" s="1">
        <v>5</v>
      </c>
      <c r="AU197" s="1">
        <v>30</v>
      </c>
      <c r="AV197" s="1" t="s">
        <v>702</v>
      </c>
      <c r="AW197" s="1" t="s">
        <v>484</v>
      </c>
      <c r="AX197" s="1" t="s">
        <v>703</v>
      </c>
      <c r="AY197" s="1" t="s">
        <v>704</v>
      </c>
      <c r="AZ197" s="1" t="s">
        <v>705</v>
      </c>
      <c r="BA197" s="1" t="s">
        <v>706</v>
      </c>
      <c r="BB197" s="1" t="s">
        <v>152</v>
      </c>
      <c r="BC197" s="1" t="s">
        <v>487</v>
      </c>
      <c r="BD197" s="5" t="s">
        <v>707</v>
      </c>
    </row>
    <row r="198" spans="1:56" ht="15.75" customHeight="1">
      <c r="A198" s="1">
        <f t="shared" si="0"/>
        <v>30040</v>
      </c>
      <c r="B198" s="1">
        <v>2</v>
      </c>
      <c r="C198" s="1">
        <v>3</v>
      </c>
      <c r="D198" s="1">
        <v>3</v>
      </c>
      <c r="E198" s="1">
        <f t="shared" si="1"/>
        <v>1</v>
      </c>
      <c r="I198" s="1">
        <v>7.0000000000000007E-2</v>
      </c>
      <c r="K198" s="1">
        <v>9</v>
      </c>
      <c r="Y198" s="1">
        <v>5</v>
      </c>
      <c r="AU198" s="1">
        <v>35</v>
      </c>
      <c r="AV198" s="1" t="s">
        <v>702</v>
      </c>
      <c r="AW198" s="1" t="s">
        <v>489</v>
      </c>
      <c r="AX198" s="1" t="s">
        <v>703</v>
      </c>
      <c r="AY198" s="1" t="s">
        <v>704</v>
      </c>
      <c r="AZ198" s="1" t="s">
        <v>705</v>
      </c>
      <c r="BA198" s="1" t="s">
        <v>706</v>
      </c>
      <c r="BB198" s="1" t="s">
        <v>478</v>
      </c>
      <c r="BC198" s="1" t="s">
        <v>487</v>
      </c>
      <c r="BD198" s="5" t="s">
        <v>707</v>
      </c>
    </row>
    <row r="199" spans="1:56" ht="15.75" customHeight="1">
      <c r="A199" s="1">
        <f t="shared" si="0"/>
        <v>30040</v>
      </c>
      <c r="B199" s="1">
        <v>2</v>
      </c>
      <c r="C199" s="1">
        <v>3</v>
      </c>
      <c r="D199" s="1">
        <v>3</v>
      </c>
      <c r="E199" s="1">
        <f t="shared" si="1"/>
        <v>2</v>
      </c>
      <c r="I199" s="1">
        <v>7.4999999999999997E-2</v>
      </c>
      <c r="K199" s="1">
        <v>9</v>
      </c>
      <c r="Y199" s="1">
        <v>5</v>
      </c>
      <c r="AU199" s="1">
        <v>35</v>
      </c>
      <c r="AV199" s="1" t="s">
        <v>702</v>
      </c>
      <c r="AW199" s="1" t="s">
        <v>490</v>
      </c>
      <c r="AX199" s="1" t="s">
        <v>485</v>
      </c>
      <c r="AY199" s="1" t="s">
        <v>704</v>
      </c>
      <c r="AZ199" s="1" t="s">
        <v>705</v>
      </c>
      <c r="BA199" s="1" t="s">
        <v>706</v>
      </c>
      <c r="BB199" s="1" t="s">
        <v>478</v>
      </c>
      <c r="BC199" s="1" t="s">
        <v>487</v>
      </c>
      <c r="BD199" s="5" t="s">
        <v>707</v>
      </c>
    </row>
    <row r="200" spans="1:56" ht="15.75" customHeight="1">
      <c r="A200" s="1">
        <f t="shared" si="0"/>
        <v>30040</v>
      </c>
      <c r="B200" s="1">
        <v>2</v>
      </c>
      <c r="C200" s="1">
        <v>3</v>
      </c>
      <c r="D200" s="1">
        <v>3</v>
      </c>
      <c r="E200" s="1">
        <f t="shared" si="1"/>
        <v>3</v>
      </c>
      <c r="I200" s="1">
        <v>0.08</v>
      </c>
      <c r="K200" s="1">
        <v>9</v>
      </c>
      <c r="Y200" s="1">
        <v>7</v>
      </c>
      <c r="AU200" s="1">
        <v>35</v>
      </c>
      <c r="AV200" s="1" t="s">
        <v>702</v>
      </c>
      <c r="AW200" s="1" t="s">
        <v>492</v>
      </c>
      <c r="AX200" s="1" t="s">
        <v>485</v>
      </c>
      <c r="AY200" s="1" t="s">
        <v>704</v>
      </c>
      <c r="AZ200" s="1" t="s">
        <v>615</v>
      </c>
      <c r="BA200" s="1" t="s">
        <v>706</v>
      </c>
      <c r="BB200" s="1" t="s">
        <v>478</v>
      </c>
      <c r="BC200" s="1" t="s">
        <v>487</v>
      </c>
      <c r="BD200" s="5" t="s">
        <v>707</v>
      </c>
    </row>
    <row r="201" spans="1:56" ht="15.75" customHeight="1">
      <c r="A201" s="1">
        <f t="shared" si="0"/>
        <v>30040</v>
      </c>
      <c r="B201" s="1">
        <v>2</v>
      </c>
      <c r="C201" s="1">
        <v>3</v>
      </c>
      <c r="D201" s="1">
        <v>3</v>
      </c>
      <c r="E201" s="1">
        <f t="shared" si="1"/>
        <v>4</v>
      </c>
      <c r="I201" s="1">
        <v>8.5000000000000006E-2</v>
      </c>
      <c r="K201" s="1">
        <v>13</v>
      </c>
      <c r="Y201" s="1">
        <v>7</v>
      </c>
      <c r="AU201" s="1">
        <v>40</v>
      </c>
      <c r="AV201" s="1" t="s">
        <v>702</v>
      </c>
      <c r="AW201" s="1" t="s">
        <v>494</v>
      </c>
      <c r="AX201" s="1" t="s">
        <v>485</v>
      </c>
      <c r="AY201" s="1" t="s">
        <v>151</v>
      </c>
      <c r="AZ201" s="1" t="s">
        <v>615</v>
      </c>
      <c r="BA201" s="1" t="s">
        <v>706</v>
      </c>
      <c r="BB201" s="1" t="s">
        <v>482</v>
      </c>
      <c r="BC201" s="1" t="s">
        <v>487</v>
      </c>
      <c r="BD201" s="5" t="s">
        <v>707</v>
      </c>
    </row>
    <row r="202" spans="1:56" ht="15.75" customHeight="1">
      <c r="A202" s="1">
        <f t="shared" si="0"/>
        <v>30041</v>
      </c>
      <c r="B202" s="1">
        <v>2</v>
      </c>
      <c r="C202" s="1">
        <v>0</v>
      </c>
      <c r="D202" s="1">
        <v>3</v>
      </c>
      <c r="E202" s="1">
        <f t="shared" si="1"/>
        <v>0</v>
      </c>
      <c r="G202" s="1">
        <v>52</v>
      </c>
      <c r="H202" s="1">
        <v>20</v>
      </c>
      <c r="J202" s="1">
        <v>3</v>
      </c>
      <c r="AB202" s="1">
        <v>1</v>
      </c>
      <c r="AU202" s="1">
        <v>30</v>
      </c>
      <c r="AV202" s="1" t="s">
        <v>708</v>
      </c>
      <c r="AW202" s="1" t="s">
        <v>944</v>
      </c>
      <c r="AX202" s="1" t="s">
        <v>54</v>
      </c>
      <c r="AY202" s="1" t="s">
        <v>66</v>
      </c>
      <c r="AZ202" s="1" t="s">
        <v>709</v>
      </c>
      <c r="BA202" s="1" t="s">
        <v>710</v>
      </c>
      <c r="BB202" s="1" t="s">
        <v>152</v>
      </c>
      <c r="BC202" s="1" t="s">
        <v>711</v>
      </c>
      <c r="BD202" s="5" t="s">
        <v>712</v>
      </c>
    </row>
    <row r="203" spans="1:56" ht="15.75" customHeight="1">
      <c r="A203" s="1">
        <f t="shared" si="0"/>
        <v>30041</v>
      </c>
      <c r="B203" s="1">
        <v>2</v>
      </c>
      <c r="C203" s="1">
        <v>0</v>
      </c>
      <c r="D203" s="1">
        <v>3</v>
      </c>
      <c r="E203" s="1">
        <f t="shared" si="1"/>
        <v>1</v>
      </c>
      <c r="G203" s="1">
        <v>55</v>
      </c>
      <c r="H203" s="1">
        <v>20</v>
      </c>
      <c r="J203" s="1">
        <v>3</v>
      </c>
      <c r="AB203" s="1">
        <v>1</v>
      </c>
      <c r="AU203" s="1">
        <v>35</v>
      </c>
      <c r="AV203" s="1" t="s">
        <v>708</v>
      </c>
      <c r="AW203" s="1" t="s">
        <v>947</v>
      </c>
      <c r="AX203" s="1" t="s">
        <v>54</v>
      </c>
      <c r="AY203" s="1" t="s">
        <v>66</v>
      </c>
      <c r="AZ203" s="1" t="s">
        <v>709</v>
      </c>
      <c r="BA203" s="1" t="s">
        <v>710</v>
      </c>
      <c r="BB203" s="1" t="s">
        <v>478</v>
      </c>
      <c r="BC203" s="1" t="s">
        <v>711</v>
      </c>
      <c r="BD203" s="5" t="s">
        <v>712</v>
      </c>
    </row>
    <row r="204" spans="1:56" ht="15.75" customHeight="1">
      <c r="A204" s="1">
        <f t="shared" si="0"/>
        <v>30041</v>
      </c>
      <c r="B204" s="1">
        <v>2</v>
      </c>
      <c r="C204" s="1">
        <v>0</v>
      </c>
      <c r="D204" s="1">
        <v>3</v>
      </c>
      <c r="E204" s="1">
        <f t="shared" si="1"/>
        <v>2</v>
      </c>
      <c r="G204" s="1">
        <v>59</v>
      </c>
      <c r="H204" s="1">
        <v>30</v>
      </c>
      <c r="J204" s="1">
        <v>3</v>
      </c>
      <c r="AB204" s="1">
        <v>1</v>
      </c>
      <c r="AU204" s="1">
        <v>35</v>
      </c>
      <c r="AV204" s="1" t="s">
        <v>708</v>
      </c>
      <c r="AW204" s="1" t="s">
        <v>950</v>
      </c>
      <c r="AX204" s="1" t="s">
        <v>182</v>
      </c>
      <c r="AY204" s="1" t="s">
        <v>66</v>
      </c>
      <c r="AZ204" s="1" t="s">
        <v>709</v>
      </c>
      <c r="BA204" s="1" t="s">
        <v>710</v>
      </c>
      <c r="BB204" s="1" t="s">
        <v>478</v>
      </c>
      <c r="BC204" s="1" t="s">
        <v>711</v>
      </c>
      <c r="BD204" s="5" t="s">
        <v>712</v>
      </c>
    </row>
    <row r="205" spans="1:56" ht="15.75" customHeight="1">
      <c r="A205" s="1">
        <f t="shared" si="0"/>
        <v>30041</v>
      </c>
      <c r="B205" s="1">
        <v>2</v>
      </c>
      <c r="C205" s="1">
        <v>0</v>
      </c>
      <c r="D205" s="1">
        <v>3</v>
      </c>
      <c r="E205" s="1">
        <f t="shared" si="1"/>
        <v>3</v>
      </c>
      <c r="G205" s="1">
        <v>62</v>
      </c>
      <c r="H205" s="1">
        <v>30</v>
      </c>
      <c r="J205" s="1">
        <v>3</v>
      </c>
      <c r="AB205" s="1">
        <v>2</v>
      </c>
      <c r="AU205" s="1">
        <v>35</v>
      </c>
      <c r="AV205" s="1" t="s">
        <v>708</v>
      </c>
      <c r="AW205" s="1" t="s">
        <v>953</v>
      </c>
      <c r="AX205" s="1" t="s">
        <v>182</v>
      </c>
      <c r="AY205" s="1" t="s">
        <v>66</v>
      </c>
      <c r="AZ205" s="1" t="s">
        <v>713</v>
      </c>
      <c r="BA205" s="1" t="s">
        <v>710</v>
      </c>
      <c r="BB205" s="1" t="s">
        <v>478</v>
      </c>
      <c r="BC205" s="1" t="s">
        <v>711</v>
      </c>
      <c r="BD205" s="5" t="s">
        <v>712</v>
      </c>
    </row>
    <row r="206" spans="1:56" ht="15.75" customHeight="1">
      <c r="A206" s="1">
        <f t="shared" si="0"/>
        <v>30041</v>
      </c>
      <c r="B206" s="1">
        <v>2</v>
      </c>
      <c r="C206" s="1">
        <v>0</v>
      </c>
      <c r="D206" s="1">
        <v>3</v>
      </c>
      <c r="E206" s="1">
        <f t="shared" si="1"/>
        <v>4</v>
      </c>
      <c r="G206" s="1">
        <v>65</v>
      </c>
      <c r="H206" s="1">
        <v>30</v>
      </c>
      <c r="J206" s="1">
        <v>4</v>
      </c>
      <c r="AB206" s="1">
        <v>2</v>
      </c>
      <c r="AU206" s="1">
        <v>40</v>
      </c>
      <c r="AV206" s="1" t="s">
        <v>708</v>
      </c>
      <c r="AW206" s="1" t="s">
        <v>956</v>
      </c>
      <c r="AX206" s="1" t="s">
        <v>182</v>
      </c>
      <c r="AY206" s="1" t="s">
        <v>193</v>
      </c>
      <c r="AZ206" s="1" t="s">
        <v>713</v>
      </c>
      <c r="BA206" s="1" t="s">
        <v>710</v>
      </c>
      <c r="BB206" s="1" t="s">
        <v>482</v>
      </c>
      <c r="BC206" s="1" t="s">
        <v>711</v>
      </c>
      <c r="BD206" s="5" t="s">
        <v>712</v>
      </c>
    </row>
    <row r="207" spans="1:56" ht="15.75" customHeight="1">
      <c r="A207" s="1">
        <f t="shared" si="0"/>
        <v>30042</v>
      </c>
      <c r="B207" s="1">
        <v>3</v>
      </c>
      <c r="C207" s="1">
        <v>0</v>
      </c>
      <c r="D207" s="1">
        <v>3</v>
      </c>
      <c r="E207" s="1">
        <f t="shared" si="1"/>
        <v>0</v>
      </c>
      <c r="F207" s="1">
        <v>10.5</v>
      </c>
      <c r="H207" s="1">
        <v>30</v>
      </c>
      <c r="AU207" s="1">
        <v>0</v>
      </c>
      <c r="AV207" s="1" t="s">
        <v>714</v>
      </c>
      <c r="AW207" s="1" t="s">
        <v>715</v>
      </c>
      <c r="AX207" s="1" t="s">
        <v>342</v>
      </c>
      <c r="AY207" s="1" t="s">
        <v>716</v>
      </c>
      <c r="AZ207" s="1" t="s">
        <v>182</v>
      </c>
      <c r="BA207" s="1" t="s">
        <v>717</v>
      </c>
      <c r="BB207" s="1" t="s">
        <v>718</v>
      </c>
      <c r="BC207" s="1" t="s">
        <v>719</v>
      </c>
      <c r="BD207" s="1" t="s">
        <v>720</v>
      </c>
    </row>
    <row r="208" spans="1:56" ht="15.75" customHeight="1">
      <c r="A208" s="1">
        <f t="shared" si="0"/>
        <v>30042</v>
      </c>
      <c r="B208" s="1">
        <v>3</v>
      </c>
      <c r="C208" s="1">
        <v>0</v>
      </c>
      <c r="D208" s="1">
        <v>3</v>
      </c>
      <c r="E208" s="1">
        <f t="shared" si="1"/>
        <v>1</v>
      </c>
      <c r="F208" s="1">
        <v>10.5</v>
      </c>
      <c r="H208" s="1">
        <v>30</v>
      </c>
      <c r="AU208" s="1">
        <v>0</v>
      </c>
      <c r="AV208" s="1" t="s">
        <v>714</v>
      </c>
      <c r="AW208" s="1" t="s">
        <v>715</v>
      </c>
      <c r="AX208" s="1" t="s">
        <v>342</v>
      </c>
      <c r="AY208" s="1" t="s">
        <v>716</v>
      </c>
      <c r="AZ208" s="1" t="s">
        <v>182</v>
      </c>
      <c r="BA208" s="1" t="s">
        <v>717</v>
      </c>
      <c r="BB208" s="1" t="s">
        <v>721</v>
      </c>
      <c r="BC208" s="1" t="s">
        <v>719</v>
      </c>
      <c r="BD208" s="1" t="s">
        <v>720</v>
      </c>
    </row>
    <row r="209" spans="1:56" ht="15.75" customHeight="1">
      <c r="A209" s="1">
        <f t="shared" si="0"/>
        <v>30042</v>
      </c>
      <c r="B209" s="1">
        <v>3</v>
      </c>
      <c r="C209" s="1">
        <v>0</v>
      </c>
      <c r="D209" s="1">
        <v>3</v>
      </c>
      <c r="E209" s="1">
        <f t="shared" si="1"/>
        <v>2</v>
      </c>
      <c r="F209" s="1">
        <v>14</v>
      </c>
      <c r="H209" s="1">
        <v>30</v>
      </c>
      <c r="AU209" s="1">
        <v>0</v>
      </c>
      <c r="AV209" s="1" t="s">
        <v>714</v>
      </c>
      <c r="AW209" s="1" t="s">
        <v>715</v>
      </c>
      <c r="AX209" s="1" t="s">
        <v>722</v>
      </c>
      <c r="AY209" s="1" t="s">
        <v>716</v>
      </c>
      <c r="AZ209" s="1" t="s">
        <v>182</v>
      </c>
      <c r="BA209" s="1" t="s">
        <v>717</v>
      </c>
      <c r="BB209" s="1" t="s">
        <v>721</v>
      </c>
      <c r="BC209" s="1" t="s">
        <v>719</v>
      </c>
      <c r="BD209" s="1" t="s">
        <v>720</v>
      </c>
    </row>
    <row r="210" spans="1:56" ht="15.75" customHeight="1">
      <c r="A210" s="1">
        <f t="shared" si="0"/>
        <v>30042</v>
      </c>
      <c r="B210" s="1">
        <v>3</v>
      </c>
      <c r="C210" s="1">
        <v>0</v>
      </c>
      <c r="D210" s="1">
        <v>3</v>
      </c>
      <c r="E210" s="1">
        <f t="shared" si="1"/>
        <v>3</v>
      </c>
      <c r="F210" s="1">
        <v>14</v>
      </c>
      <c r="H210" s="1">
        <v>30</v>
      </c>
      <c r="AU210" s="1">
        <v>0</v>
      </c>
      <c r="AV210" s="1" t="s">
        <v>714</v>
      </c>
      <c r="AW210" s="1" t="s">
        <v>715</v>
      </c>
      <c r="AX210" s="1" t="s">
        <v>722</v>
      </c>
      <c r="AY210" s="1" t="s">
        <v>723</v>
      </c>
      <c r="AZ210" s="1" t="s">
        <v>182</v>
      </c>
      <c r="BA210" s="1" t="s">
        <v>717</v>
      </c>
      <c r="BB210" s="1" t="s">
        <v>721</v>
      </c>
      <c r="BC210" s="1" t="s">
        <v>719</v>
      </c>
      <c r="BD210" s="1" t="s">
        <v>720</v>
      </c>
    </row>
    <row r="211" spans="1:56" ht="15.75" customHeight="1">
      <c r="A211" s="1">
        <f t="shared" si="0"/>
        <v>30042</v>
      </c>
      <c r="B211" s="1">
        <v>3</v>
      </c>
      <c r="C211" s="1">
        <v>0</v>
      </c>
      <c r="D211" s="1">
        <v>3</v>
      </c>
      <c r="E211" s="1">
        <f t="shared" si="1"/>
        <v>4</v>
      </c>
      <c r="F211" s="1">
        <v>14</v>
      </c>
      <c r="H211" s="1">
        <v>40</v>
      </c>
      <c r="AU211" s="1">
        <v>0</v>
      </c>
      <c r="AV211" s="1" t="s">
        <v>714</v>
      </c>
      <c r="AW211" s="1" t="s">
        <v>715</v>
      </c>
      <c r="AX211" s="1" t="s">
        <v>722</v>
      </c>
      <c r="AY211" s="1" t="s">
        <v>723</v>
      </c>
      <c r="AZ211" s="1" t="s">
        <v>479</v>
      </c>
      <c r="BA211" s="1" t="s">
        <v>717</v>
      </c>
      <c r="BB211" s="1" t="s">
        <v>724</v>
      </c>
      <c r="BC211" s="1" t="s">
        <v>719</v>
      </c>
      <c r="BD211" s="1" t="s">
        <v>720</v>
      </c>
    </row>
    <row r="212" spans="1:56" ht="15.75" customHeight="1">
      <c r="A212" s="1">
        <f t="shared" si="0"/>
        <v>30043</v>
      </c>
      <c r="B212" s="1">
        <v>3</v>
      </c>
      <c r="C212" s="1">
        <v>0</v>
      </c>
      <c r="D212" s="1">
        <v>3</v>
      </c>
      <c r="E212" s="1">
        <f t="shared" si="1"/>
        <v>0</v>
      </c>
      <c r="F212" s="1">
        <v>10.5</v>
      </c>
      <c r="AU212" s="1">
        <v>0</v>
      </c>
      <c r="AV212" s="1" t="s">
        <v>725</v>
      </c>
      <c r="AW212" s="1" t="s">
        <v>726</v>
      </c>
      <c r="AX212" s="1" t="s">
        <v>342</v>
      </c>
      <c r="AY212" s="1" t="s">
        <v>727</v>
      </c>
      <c r="AZ212" s="1" t="s">
        <v>1090</v>
      </c>
      <c r="BA212" s="1" t="s">
        <v>728</v>
      </c>
      <c r="BB212" s="1" t="s">
        <v>718</v>
      </c>
      <c r="BC212" s="1" t="s">
        <v>729</v>
      </c>
      <c r="BD212" s="1" t="s">
        <v>730</v>
      </c>
    </row>
    <row r="213" spans="1:56" ht="15.75" customHeight="1">
      <c r="A213" s="1">
        <f t="shared" si="0"/>
        <v>30043</v>
      </c>
      <c r="B213" s="1">
        <v>3</v>
      </c>
      <c r="C213" s="1">
        <v>0</v>
      </c>
      <c r="D213" s="1">
        <v>3</v>
      </c>
      <c r="E213" s="1">
        <f t="shared" si="1"/>
        <v>1</v>
      </c>
      <c r="F213" s="1">
        <v>10.5</v>
      </c>
      <c r="AU213" s="1">
        <v>0</v>
      </c>
      <c r="AV213" s="1" t="s">
        <v>725</v>
      </c>
      <c r="AW213" s="1" t="s">
        <v>731</v>
      </c>
      <c r="AX213" s="1" t="s">
        <v>342</v>
      </c>
      <c r="AY213" s="1" t="s">
        <v>727</v>
      </c>
      <c r="AZ213" s="1" t="s">
        <v>1090</v>
      </c>
      <c r="BA213" s="1" t="s">
        <v>728</v>
      </c>
      <c r="BB213" s="1" t="s">
        <v>721</v>
      </c>
      <c r="BC213" s="1" t="s">
        <v>729</v>
      </c>
      <c r="BD213" s="1" t="s">
        <v>730</v>
      </c>
    </row>
    <row r="214" spans="1:56" ht="15.75" customHeight="1">
      <c r="A214" s="1">
        <f t="shared" si="0"/>
        <v>30043</v>
      </c>
      <c r="B214" s="1">
        <v>3</v>
      </c>
      <c r="C214" s="1">
        <v>0</v>
      </c>
      <c r="D214" s="1">
        <v>3</v>
      </c>
      <c r="E214" s="1">
        <f t="shared" si="1"/>
        <v>2</v>
      </c>
      <c r="F214" s="1">
        <v>14</v>
      </c>
      <c r="AU214" s="1">
        <v>0</v>
      </c>
      <c r="AV214" s="1" t="s">
        <v>725</v>
      </c>
      <c r="AW214" s="1" t="s">
        <v>732</v>
      </c>
      <c r="AX214" s="1" t="s">
        <v>722</v>
      </c>
      <c r="AY214" s="1" t="s">
        <v>727</v>
      </c>
      <c r="AZ214" s="1" t="s">
        <v>1090</v>
      </c>
      <c r="BA214" s="1" t="s">
        <v>728</v>
      </c>
      <c r="BB214" s="1" t="s">
        <v>721</v>
      </c>
      <c r="BC214" s="1" t="s">
        <v>729</v>
      </c>
      <c r="BD214" s="1" t="s">
        <v>730</v>
      </c>
    </row>
    <row r="215" spans="1:56" ht="15.75" customHeight="1">
      <c r="A215" s="1">
        <f t="shared" si="0"/>
        <v>30043</v>
      </c>
      <c r="B215" s="1">
        <v>3</v>
      </c>
      <c r="C215" s="1">
        <v>0</v>
      </c>
      <c r="D215" s="1">
        <v>3</v>
      </c>
      <c r="E215" s="1">
        <f t="shared" si="1"/>
        <v>3</v>
      </c>
      <c r="F215" s="1">
        <v>14</v>
      </c>
      <c r="AU215" s="1">
        <v>0</v>
      </c>
      <c r="AV215" s="1" t="s">
        <v>725</v>
      </c>
      <c r="AW215" s="1" t="s">
        <v>715</v>
      </c>
      <c r="AX215" s="1" t="s">
        <v>722</v>
      </c>
      <c r="AY215" s="1" t="s">
        <v>733</v>
      </c>
      <c r="AZ215" s="1" t="s">
        <v>1090</v>
      </c>
      <c r="BA215" s="1" t="s">
        <v>728</v>
      </c>
      <c r="BB215" s="1" t="s">
        <v>721</v>
      </c>
      <c r="BC215" s="1" t="s">
        <v>729</v>
      </c>
      <c r="BD215" s="1" t="s">
        <v>730</v>
      </c>
    </row>
    <row r="216" spans="1:56" ht="15.75" customHeight="1">
      <c r="A216" s="1">
        <f t="shared" si="0"/>
        <v>30043</v>
      </c>
      <c r="B216" s="1">
        <v>3</v>
      </c>
      <c r="C216" s="1">
        <v>0</v>
      </c>
      <c r="D216" s="1">
        <v>3</v>
      </c>
      <c r="E216" s="1">
        <f t="shared" si="1"/>
        <v>4</v>
      </c>
      <c r="F216" s="1">
        <v>14</v>
      </c>
      <c r="AU216" s="1">
        <v>0</v>
      </c>
      <c r="AV216" s="1" t="s">
        <v>725</v>
      </c>
      <c r="AW216" s="1" t="s">
        <v>715</v>
      </c>
      <c r="AX216" s="1" t="s">
        <v>722</v>
      </c>
      <c r="AY216" s="1" t="s">
        <v>733</v>
      </c>
      <c r="AZ216" s="1" t="s">
        <v>1091</v>
      </c>
      <c r="BA216" s="1" t="s">
        <v>728</v>
      </c>
      <c r="BB216" s="1" t="s">
        <v>724</v>
      </c>
      <c r="BC216" s="1" t="s">
        <v>729</v>
      </c>
      <c r="BD216" s="1" t="s">
        <v>730</v>
      </c>
    </row>
    <row r="217" spans="1:56" ht="15.75" customHeight="1">
      <c r="A217" s="1">
        <f t="shared" si="0"/>
        <v>30044</v>
      </c>
      <c r="B217" s="1">
        <v>0</v>
      </c>
      <c r="C217" s="1">
        <v>1</v>
      </c>
      <c r="D217" s="1">
        <v>3</v>
      </c>
      <c r="E217" s="1">
        <f t="shared" si="1"/>
        <v>0</v>
      </c>
      <c r="F217" s="1">
        <v>21</v>
      </c>
      <c r="I217" s="1">
        <v>6.5000000000000002E-2</v>
      </c>
      <c r="K217" s="1">
        <v>13</v>
      </c>
      <c r="U217" s="1">
        <v>5</v>
      </c>
      <c r="AU217" s="1">
        <v>30</v>
      </c>
      <c r="AV217" s="1" t="s">
        <v>734</v>
      </c>
      <c r="AW217" s="1" t="s">
        <v>512</v>
      </c>
      <c r="AX217" s="1" t="s">
        <v>161</v>
      </c>
      <c r="AY217" s="1" t="s">
        <v>166</v>
      </c>
      <c r="AZ217" s="1" t="s">
        <v>183</v>
      </c>
      <c r="BA217" s="1" t="s">
        <v>735</v>
      </c>
      <c r="BB217" s="1" t="s">
        <v>167</v>
      </c>
      <c r="BC217" s="1" t="s">
        <v>487</v>
      </c>
      <c r="BD217" s="5" t="s">
        <v>736</v>
      </c>
    </row>
    <row r="218" spans="1:56" ht="15.75" customHeight="1">
      <c r="A218" s="1">
        <f t="shared" si="0"/>
        <v>30044</v>
      </c>
      <c r="B218" s="1">
        <v>0</v>
      </c>
      <c r="C218" s="1">
        <v>1</v>
      </c>
      <c r="D218" s="1">
        <v>3</v>
      </c>
      <c r="E218" s="1">
        <f t="shared" si="1"/>
        <v>1</v>
      </c>
      <c r="F218" s="1">
        <v>21</v>
      </c>
      <c r="I218" s="1">
        <v>7.0000000000000007E-2</v>
      </c>
      <c r="K218" s="1">
        <v>13</v>
      </c>
      <c r="U218" s="1">
        <v>5</v>
      </c>
      <c r="AU218" s="1">
        <v>35</v>
      </c>
      <c r="AV218" s="1" t="s">
        <v>734</v>
      </c>
      <c r="AW218" s="1" t="s">
        <v>515</v>
      </c>
      <c r="AX218" s="1" t="s">
        <v>161</v>
      </c>
      <c r="AY218" s="1" t="s">
        <v>166</v>
      </c>
      <c r="AZ218" s="1" t="s">
        <v>183</v>
      </c>
      <c r="BA218" s="1" t="s">
        <v>735</v>
      </c>
      <c r="BB218" s="1" t="s">
        <v>516</v>
      </c>
      <c r="BC218" s="1" t="s">
        <v>487</v>
      </c>
      <c r="BD218" s="5" t="s">
        <v>736</v>
      </c>
    </row>
    <row r="219" spans="1:56" ht="15.75" customHeight="1">
      <c r="A219" s="1">
        <f t="shared" si="0"/>
        <v>30044</v>
      </c>
      <c r="B219" s="1">
        <v>0</v>
      </c>
      <c r="C219" s="1">
        <v>1</v>
      </c>
      <c r="D219" s="1">
        <v>3</v>
      </c>
      <c r="E219" s="1">
        <f t="shared" si="1"/>
        <v>2</v>
      </c>
      <c r="F219" s="1">
        <v>28</v>
      </c>
      <c r="I219" s="1">
        <v>7.4999999999999997E-2</v>
      </c>
      <c r="K219" s="1">
        <v>13</v>
      </c>
      <c r="U219" s="1">
        <v>5</v>
      </c>
      <c r="AU219" s="1">
        <v>35</v>
      </c>
      <c r="AV219" s="1" t="s">
        <v>734</v>
      </c>
      <c r="AW219" s="1" t="s">
        <v>517</v>
      </c>
      <c r="AX219" s="1" t="s">
        <v>544</v>
      </c>
      <c r="AY219" s="1" t="s">
        <v>166</v>
      </c>
      <c r="AZ219" s="1" t="s">
        <v>183</v>
      </c>
      <c r="BA219" s="1" t="s">
        <v>735</v>
      </c>
      <c r="BB219" s="1" t="s">
        <v>516</v>
      </c>
      <c r="BC219" s="1" t="s">
        <v>487</v>
      </c>
      <c r="BD219" s="5" t="s">
        <v>736</v>
      </c>
    </row>
    <row r="220" spans="1:56" ht="15.75" customHeight="1">
      <c r="A220" s="1">
        <f t="shared" si="0"/>
        <v>30044</v>
      </c>
      <c r="B220" s="1">
        <v>0</v>
      </c>
      <c r="C220" s="1">
        <v>1</v>
      </c>
      <c r="D220" s="1">
        <v>3</v>
      </c>
      <c r="E220" s="1">
        <f t="shared" si="1"/>
        <v>3</v>
      </c>
      <c r="F220" s="1">
        <v>28</v>
      </c>
      <c r="I220" s="1">
        <v>0.08</v>
      </c>
      <c r="K220" s="1">
        <v>17</v>
      </c>
      <c r="U220" s="1">
        <v>5</v>
      </c>
      <c r="AU220" s="1">
        <v>35</v>
      </c>
      <c r="AV220" s="1" t="s">
        <v>734</v>
      </c>
      <c r="AW220" s="1" t="s">
        <v>518</v>
      </c>
      <c r="AX220" s="1" t="s">
        <v>544</v>
      </c>
      <c r="AY220" s="1" t="s">
        <v>545</v>
      </c>
      <c r="AZ220" s="1" t="s">
        <v>183</v>
      </c>
      <c r="BA220" s="1" t="s">
        <v>735</v>
      </c>
      <c r="BB220" s="1" t="s">
        <v>516</v>
      </c>
      <c r="BC220" s="1" t="s">
        <v>487</v>
      </c>
      <c r="BD220" s="5" t="s">
        <v>736</v>
      </c>
    </row>
    <row r="221" spans="1:56" ht="15.75" customHeight="1">
      <c r="A221" s="1">
        <f t="shared" si="0"/>
        <v>30044</v>
      </c>
      <c r="B221" s="1">
        <v>0</v>
      </c>
      <c r="C221" s="1">
        <v>1</v>
      </c>
      <c r="D221" s="1">
        <v>3</v>
      </c>
      <c r="E221" s="1">
        <f t="shared" si="1"/>
        <v>4</v>
      </c>
      <c r="F221" s="1">
        <v>28</v>
      </c>
      <c r="I221" s="1">
        <v>8.5000000000000006E-2</v>
      </c>
      <c r="K221" s="1">
        <v>17</v>
      </c>
      <c r="U221" s="1">
        <v>7</v>
      </c>
      <c r="AU221" s="1">
        <v>40</v>
      </c>
      <c r="AV221" s="1" t="s">
        <v>734</v>
      </c>
      <c r="AW221" s="1" t="s">
        <v>520</v>
      </c>
      <c r="AX221" s="1" t="s">
        <v>544</v>
      </c>
      <c r="AY221" s="1" t="s">
        <v>545</v>
      </c>
      <c r="AZ221" s="1" t="s">
        <v>563</v>
      </c>
      <c r="BA221" s="1" t="s">
        <v>735</v>
      </c>
      <c r="BB221" s="1" t="s">
        <v>522</v>
      </c>
      <c r="BC221" s="1" t="s">
        <v>487</v>
      </c>
      <c r="BD221" s="5" t="s">
        <v>736</v>
      </c>
    </row>
    <row r="222" spans="1:56" ht="15.75" customHeight="1">
      <c r="A222" s="1">
        <f t="shared" si="0"/>
        <v>30045</v>
      </c>
      <c r="B222" s="1">
        <v>1</v>
      </c>
      <c r="C222" s="1">
        <v>0</v>
      </c>
      <c r="D222" s="1">
        <v>3</v>
      </c>
      <c r="E222" s="1">
        <f t="shared" si="1"/>
        <v>0</v>
      </c>
      <c r="I222" s="1">
        <v>6.5000000000000002E-2</v>
      </c>
      <c r="K222" s="1">
        <v>13</v>
      </c>
      <c r="U222" s="1">
        <v>5</v>
      </c>
      <c r="AU222" s="1">
        <v>30</v>
      </c>
      <c r="AV222" s="1" t="s">
        <v>737</v>
      </c>
      <c r="AW222" s="1" t="s">
        <v>497</v>
      </c>
      <c r="AX222" s="1" t="s">
        <v>232</v>
      </c>
      <c r="AY222" s="1" t="s">
        <v>221</v>
      </c>
      <c r="AZ222" s="1" t="s">
        <v>226</v>
      </c>
      <c r="BA222" s="1" t="s">
        <v>738</v>
      </c>
      <c r="BB222" s="1" t="s">
        <v>214</v>
      </c>
      <c r="BC222" s="1" t="s">
        <v>487</v>
      </c>
      <c r="BD222" s="1" t="s">
        <v>739</v>
      </c>
    </row>
    <row r="223" spans="1:56" ht="15.75" customHeight="1">
      <c r="A223" s="1">
        <f t="shared" si="0"/>
        <v>30045</v>
      </c>
      <c r="B223" s="1">
        <v>1</v>
      </c>
      <c r="C223" s="1">
        <v>0</v>
      </c>
      <c r="D223" s="1">
        <v>3</v>
      </c>
      <c r="E223" s="1">
        <f t="shared" si="1"/>
        <v>1</v>
      </c>
      <c r="I223" s="1">
        <v>7.0000000000000007E-2</v>
      </c>
      <c r="K223" s="1">
        <v>13</v>
      </c>
      <c r="U223" s="1">
        <v>5</v>
      </c>
      <c r="AU223" s="1">
        <v>35</v>
      </c>
      <c r="AV223" s="1" t="s">
        <v>737</v>
      </c>
      <c r="AW223" s="1" t="s">
        <v>502</v>
      </c>
      <c r="AX223" s="1" t="s">
        <v>232</v>
      </c>
      <c r="AY223" s="1" t="s">
        <v>221</v>
      </c>
      <c r="AZ223" s="1" t="s">
        <v>226</v>
      </c>
      <c r="BA223" s="1" t="s">
        <v>738</v>
      </c>
      <c r="BB223" s="1" t="s">
        <v>503</v>
      </c>
      <c r="BC223" s="1" t="s">
        <v>487</v>
      </c>
      <c r="BD223" s="1" t="s">
        <v>739</v>
      </c>
    </row>
    <row r="224" spans="1:56" ht="15.75" customHeight="1">
      <c r="A224" s="1">
        <f t="shared" si="0"/>
        <v>30045</v>
      </c>
      <c r="B224" s="1">
        <v>1</v>
      </c>
      <c r="C224" s="1">
        <v>0</v>
      </c>
      <c r="D224" s="1">
        <v>3</v>
      </c>
      <c r="E224" s="1">
        <f t="shared" si="1"/>
        <v>2</v>
      </c>
      <c r="I224" s="1">
        <v>7.4999999999999997E-2</v>
      </c>
      <c r="K224" s="1">
        <v>13</v>
      </c>
      <c r="U224" s="1">
        <v>5</v>
      </c>
      <c r="AU224" s="1">
        <v>35</v>
      </c>
      <c r="AV224" s="1" t="s">
        <v>737</v>
      </c>
      <c r="AW224" s="1" t="s">
        <v>504</v>
      </c>
      <c r="AX224" s="1" t="s">
        <v>505</v>
      </c>
      <c r="AY224" s="1" t="s">
        <v>221</v>
      </c>
      <c r="AZ224" s="1" t="s">
        <v>226</v>
      </c>
      <c r="BA224" s="1" t="s">
        <v>738</v>
      </c>
      <c r="BB224" s="1" t="s">
        <v>503</v>
      </c>
      <c r="BC224" s="1" t="s">
        <v>487</v>
      </c>
      <c r="BD224" s="1" t="s">
        <v>739</v>
      </c>
    </row>
    <row r="225" spans="1:56" ht="15.75" customHeight="1">
      <c r="A225" s="1">
        <f t="shared" si="0"/>
        <v>30045</v>
      </c>
      <c r="B225" s="1">
        <v>1</v>
      </c>
      <c r="C225" s="1">
        <v>0</v>
      </c>
      <c r="D225" s="1">
        <v>3</v>
      </c>
      <c r="E225" s="1">
        <f t="shared" si="1"/>
        <v>3</v>
      </c>
      <c r="I225" s="1">
        <v>0.08</v>
      </c>
      <c r="K225" s="1">
        <v>17</v>
      </c>
      <c r="U225" s="1">
        <v>5</v>
      </c>
      <c r="AU225" s="1">
        <v>35</v>
      </c>
      <c r="AV225" s="1" t="s">
        <v>737</v>
      </c>
      <c r="AW225" s="1" t="s">
        <v>506</v>
      </c>
      <c r="AX225" s="1" t="s">
        <v>505</v>
      </c>
      <c r="AY225" s="1" t="s">
        <v>538</v>
      </c>
      <c r="AZ225" s="1" t="s">
        <v>226</v>
      </c>
      <c r="BA225" s="1" t="s">
        <v>738</v>
      </c>
      <c r="BB225" s="1" t="s">
        <v>503</v>
      </c>
      <c r="BC225" s="1" t="s">
        <v>487</v>
      </c>
      <c r="BD225" s="1" t="s">
        <v>739</v>
      </c>
    </row>
    <row r="226" spans="1:56" ht="15.75" customHeight="1">
      <c r="A226" s="1">
        <f t="shared" si="0"/>
        <v>30045</v>
      </c>
      <c r="B226" s="1">
        <v>1</v>
      </c>
      <c r="C226" s="1">
        <v>0</v>
      </c>
      <c r="D226" s="1">
        <v>3</v>
      </c>
      <c r="E226" s="1">
        <f t="shared" si="1"/>
        <v>4</v>
      </c>
      <c r="I226" s="1">
        <v>8.5000000000000006E-2</v>
      </c>
      <c r="K226" s="1">
        <v>17</v>
      </c>
      <c r="U226" s="1">
        <v>7</v>
      </c>
      <c r="AU226" s="1">
        <v>40</v>
      </c>
      <c r="AV226" s="1" t="s">
        <v>737</v>
      </c>
      <c r="AW226" s="1" t="s">
        <v>508</v>
      </c>
      <c r="AX226" s="1" t="s">
        <v>505</v>
      </c>
      <c r="AY226" s="1" t="s">
        <v>538</v>
      </c>
      <c r="AZ226" s="1" t="s">
        <v>651</v>
      </c>
      <c r="BA226" s="1" t="s">
        <v>738</v>
      </c>
      <c r="BB226" s="1" t="s">
        <v>510</v>
      </c>
      <c r="BC226" s="1" t="s">
        <v>487</v>
      </c>
      <c r="BD226" s="1" t="s">
        <v>739</v>
      </c>
    </row>
    <row r="227" spans="1:56" ht="15.75" customHeight="1">
      <c r="A227" s="1">
        <f t="shared" si="0"/>
        <v>30046</v>
      </c>
      <c r="B227" s="1">
        <v>0</v>
      </c>
      <c r="C227" s="1">
        <v>3</v>
      </c>
      <c r="D227" s="1">
        <v>3</v>
      </c>
      <c r="E227" s="1">
        <f t="shared" si="1"/>
        <v>0</v>
      </c>
      <c r="F227" s="1">
        <v>21</v>
      </c>
      <c r="I227" s="1">
        <v>6.5000000000000002E-2</v>
      </c>
      <c r="Q227" s="1">
        <v>11</v>
      </c>
      <c r="R227" s="1"/>
      <c r="AU227" s="1">
        <v>30</v>
      </c>
      <c r="AV227" s="1" t="s">
        <v>740</v>
      </c>
      <c r="AW227" s="1" t="s">
        <v>512</v>
      </c>
      <c r="AX227" s="1" t="s">
        <v>161</v>
      </c>
      <c r="AY227" s="1" t="s">
        <v>174</v>
      </c>
      <c r="AZ227" s="1" t="s">
        <v>553</v>
      </c>
      <c r="BA227" s="1" t="s">
        <v>741</v>
      </c>
      <c r="BB227" s="1" t="s">
        <v>167</v>
      </c>
      <c r="BC227" s="1" t="s">
        <v>487</v>
      </c>
      <c r="BD227" s="1" t="s">
        <v>742</v>
      </c>
    </row>
    <row r="228" spans="1:56" ht="15.75" customHeight="1">
      <c r="A228" s="1">
        <f t="shared" si="0"/>
        <v>30046</v>
      </c>
      <c r="B228" s="1">
        <v>0</v>
      </c>
      <c r="C228" s="1">
        <v>3</v>
      </c>
      <c r="D228" s="1">
        <v>3</v>
      </c>
      <c r="E228" s="1">
        <f t="shared" si="1"/>
        <v>1</v>
      </c>
      <c r="F228" s="1">
        <v>21</v>
      </c>
      <c r="I228" s="1">
        <v>7.0000000000000007E-2</v>
      </c>
      <c r="Q228" s="1">
        <v>11</v>
      </c>
      <c r="R228" s="1"/>
      <c r="AU228" s="1">
        <v>35</v>
      </c>
      <c r="AV228" s="1" t="s">
        <v>740</v>
      </c>
      <c r="AW228" s="1" t="s">
        <v>515</v>
      </c>
      <c r="AX228" s="1" t="s">
        <v>161</v>
      </c>
      <c r="AY228" s="1" t="s">
        <v>174</v>
      </c>
      <c r="AZ228" s="1" t="s">
        <v>553</v>
      </c>
      <c r="BA228" s="1" t="s">
        <v>741</v>
      </c>
      <c r="BB228" s="1" t="s">
        <v>516</v>
      </c>
      <c r="BC228" s="1" t="s">
        <v>487</v>
      </c>
      <c r="BD228" s="1" t="s">
        <v>742</v>
      </c>
    </row>
    <row r="229" spans="1:56" ht="15.75" customHeight="1">
      <c r="A229" s="1">
        <f t="shared" si="0"/>
        <v>30046</v>
      </c>
      <c r="B229" s="1">
        <v>0</v>
      </c>
      <c r="C229" s="1">
        <v>3</v>
      </c>
      <c r="D229" s="1">
        <v>3</v>
      </c>
      <c r="E229" s="1">
        <f t="shared" si="1"/>
        <v>2</v>
      </c>
      <c r="F229" s="1">
        <v>28</v>
      </c>
      <c r="I229" s="1">
        <v>7.4999999999999997E-2</v>
      </c>
      <c r="Q229" s="1">
        <v>11</v>
      </c>
      <c r="R229" s="1"/>
      <c r="AU229" s="1">
        <v>35</v>
      </c>
      <c r="AV229" s="1" t="s">
        <v>740</v>
      </c>
      <c r="AW229" s="1" t="s">
        <v>517</v>
      </c>
      <c r="AX229" s="1" t="s">
        <v>544</v>
      </c>
      <c r="AY229" s="1" t="s">
        <v>174</v>
      </c>
      <c r="AZ229" s="1" t="s">
        <v>553</v>
      </c>
      <c r="BA229" s="1" t="s">
        <v>741</v>
      </c>
      <c r="BB229" s="1" t="s">
        <v>516</v>
      </c>
      <c r="BC229" s="1" t="s">
        <v>487</v>
      </c>
      <c r="BD229" s="1" t="s">
        <v>742</v>
      </c>
    </row>
    <row r="230" spans="1:56" ht="15.75" customHeight="1">
      <c r="A230" s="1">
        <f t="shared" si="0"/>
        <v>30046</v>
      </c>
      <c r="B230" s="1">
        <v>0</v>
      </c>
      <c r="C230" s="1">
        <v>3</v>
      </c>
      <c r="D230" s="1">
        <v>3</v>
      </c>
      <c r="E230" s="1">
        <f t="shared" si="1"/>
        <v>3</v>
      </c>
      <c r="F230" s="1">
        <v>28</v>
      </c>
      <c r="I230" s="1">
        <v>0.08</v>
      </c>
      <c r="Q230" s="1">
        <v>11</v>
      </c>
      <c r="R230" s="1"/>
      <c r="AU230" s="1">
        <v>35</v>
      </c>
      <c r="AV230" s="1" t="s">
        <v>740</v>
      </c>
      <c r="AW230" s="1" t="s">
        <v>518</v>
      </c>
      <c r="AX230" s="1" t="s">
        <v>544</v>
      </c>
      <c r="AY230" s="1" t="s">
        <v>557</v>
      </c>
      <c r="AZ230" s="1" t="s">
        <v>553</v>
      </c>
      <c r="BA230" s="1" t="s">
        <v>741</v>
      </c>
      <c r="BB230" s="1" t="s">
        <v>516</v>
      </c>
      <c r="BC230" s="1" t="s">
        <v>487</v>
      </c>
      <c r="BD230" s="1" t="s">
        <v>742</v>
      </c>
    </row>
    <row r="231" spans="1:56" ht="15.75" customHeight="1">
      <c r="A231" s="1">
        <f t="shared" si="0"/>
        <v>30046</v>
      </c>
      <c r="B231" s="1">
        <v>0</v>
      </c>
      <c r="C231" s="1">
        <v>3</v>
      </c>
      <c r="D231" s="1">
        <v>3</v>
      </c>
      <c r="E231" s="1">
        <f t="shared" si="1"/>
        <v>4</v>
      </c>
      <c r="F231" s="1">
        <v>28</v>
      </c>
      <c r="I231" s="1">
        <v>8.5000000000000006E-2</v>
      </c>
      <c r="Q231" s="1">
        <v>15</v>
      </c>
      <c r="R231" s="1"/>
      <c r="AU231" s="1">
        <v>40</v>
      </c>
      <c r="AV231" s="1" t="s">
        <v>740</v>
      </c>
      <c r="AW231" s="1" t="s">
        <v>520</v>
      </c>
      <c r="AX231" s="1" t="s">
        <v>544</v>
      </c>
      <c r="AY231" s="1" t="s">
        <v>557</v>
      </c>
      <c r="AZ231" s="1" t="s">
        <v>558</v>
      </c>
      <c r="BA231" s="1" t="s">
        <v>741</v>
      </c>
      <c r="BB231" s="1" t="s">
        <v>522</v>
      </c>
      <c r="BC231" s="1" t="s">
        <v>487</v>
      </c>
      <c r="BD231" s="1" t="s">
        <v>742</v>
      </c>
    </row>
    <row r="232" spans="1:56" ht="15.75" customHeight="1">
      <c r="A232" s="1">
        <f t="shared" si="0"/>
        <v>30047</v>
      </c>
      <c r="B232" s="1">
        <v>2</v>
      </c>
      <c r="C232" s="1">
        <v>3</v>
      </c>
      <c r="D232" s="1">
        <v>3</v>
      </c>
      <c r="E232" s="1">
        <f t="shared" si="1"/>
        <v>0</v>
      </c>
      <c r="I232" s="1">
        <v>6.5000000000000002E-2</v>
      </c>
      <c r="K232" s="1">
        <v>13</v>
      </c>
      <c r="X232" s="1">
        <v>7</v>
      </c>
      <c r="AL232" s="1">
        <v>8</v>
      </c>
      <c r="AU232" s="1">
        <v>30</v>
      </c>
      <c r="AV232" s="1" t="s">
        <v>743</v>
      </c>
      <c r="AW232" s="1" t="s">
        <v>484</v>
      </c>
      <c r="AX232" s="1" t="s">
        <v>379</v>
      </c>
      <c r="AY232" s="1" t="s">
        <v>744</v>
      </c>
      <c r="AZ232" s="1" t="s">
        <v>151</v>
      </c>
      <c r="BA232" s="1" t="s">
        <v>745</v>
      </c>
      <c r="BB232" s="1" t="s">
        <v>152</v>
      </c>
      <c r="BC232" s="1" t="s">
        <v>487</v>
      </c>
      <c r="BD232" s="2" t="s">
        <v>746</v>
      </c>
    </row>
    <row r="233" spans="1:56" ht="15.75" customHeight="1">
      <c r="A233" s="1">
        <f t="shared" si="0"/>
        <v>30047</v>
      </c>
      <c r="B233" s="1">
        <v>2</v>
      </c>
      <c r="C233" s="1">
        <v>3</v>
      </c>
      <c r="D233" s="1">
        <v>3</v>
      </c>
      <c r="E233" s="1">
        <f t="shared" si="1"/>
        <v>1</v>
      </c>
      <c r="I233" s="1">
        <v>7.0000000000000007E-2</v>
      </c>
      <c r="K233" s="1">
        <v>13</v>
      </c>
      <c r="X233" s="1">
        <v>7</v>
      </c>
      <c r="AL233" s="1">
        <v>8</v>
      </c>
      <c r="AU233" s="1">
        <v>35</v>
      </c>
      <c r="AV233" s="1" t="s">
        <v>743</v>
      </c>
      <c r="AW233" s="1" t="s">
        <v>489</v>
      </c>
      <c r="AX233" s="1" t="s">
        <v>379</v>
      </c>
      <c r="AY233" s="1" t="s">
        <v>744</v>
      </c>
      <c r="AZ233" s="1" t="s">
        <v>151</v>
      </c>
      <c r="BA233" s="1" t="s">
        <v>745</v>
      </c>
      <c r="BB233" s="1" t="s">
        <v>478</v>
      </c>
      <c r="BC233" s="1" t="s">
        <v>487</v>
      </c>
      <c r="BD233" s="1" t="s">
        <v>746</v>
      </c>
    </row>
    <row r="234" spans="1:56" ht="15.75" customHeight="1">
      <c r="A234" s="1">
        <f t="shared" si="0"/>
        <v>30047</v>
      </c>
      <c r="B234" s="1">
        <v>2</v>
      </c>
      <c r="C234" s="1">
        <v>3</v>
      </c>
      <c r="D234" s="1">
        <v>3</v>
      </c>
      <c r="E234" s="1">
        <f t="shared" si="1"/>
        <v>2</v>
      </c>
      <c r="I234" s="1">
        <v>7.4999999999999997E-2</v>
      </c>
      <c r="K234" s="1">
        <v>13</v>
      </c>
      <c r="X234" s="1">
        <v>7</v>
      </c>
      <c r="AL234" s="1">
        <v>11</v>
      </c>
      <c r="AU234" s="1">
        <v>35</v>
      </c>
      <c r="AV234" s="1" t="s">
        <v>743</v>
      </c>
      <c r="AW234" s="1" t="s">
        <v>490</v>
      </c>
      <c r="AX234" s="1" t="s">
        <v>747</v>
      </c>
      <c r="AY234" s="1" t="s">
        <v>744</v>
      </c>
      <c r="AZ234" s="1" t="s">
        <v>151</v>
      </c>
      <c r="BA234" s="1" t="s">
        <v>745</v>
      </c>
      <c r="BB234" s="1" t="s">
        <v>478</v>
      </c>
      <c r="BC234" s="1" t="s">
        <v>487</v>
      </c>
      <c r="BD234" s="1" t="s">
        <v>746</v>
      </c>
    </row>
    <row r="235" spans="1:56" ht="15.75" customHeight="1">
      <c r="A235" s="1">
        <f t="shared" si="0"/>
        <v>30047</v>
      </c>
      <c r="B235" s="1">
        <v>2</v>
      </c>
      <c r="C235" s="1">
        <v>3</v>
      </c>
      <c r="D235" s="1">
        <v>3</v>
      </c>
      <c r="E235" s="1">
        <f t="shared" si="1"/>
        <v>3</v>
      </c>
      <c r="I235" s="1">
        <v>0.08</v>
      </c>
      <c r="K235" s="1">
        <v>13</v>
      </c>
      <c r="X235" s="1">
        <v>9</v>
      </c>
      <c r="AL235" s="1">
        <v>11</v>
      </c>
      <c r="AU235" s="1">
        <v>35</v>
      </c>
      <c r="AV235" s="1" t="s">
        <v>743</v>
      </c>
      <c r="AW235" s="1" t="s">
        <v>492</v>
      </c>
      <c r="AX235" s="1" t="s">
        <v>747</v>
      </c>
      <c r="AY235" s="1" t="s">
        <v>748</v>
      </c>
      <c r="AZ235" s="1" t="s">
        <v>151</v>
      </c>
      <c r="BA235" s="1" t="s">
        <v>745</v>
      </c>
      <c r="BB235" s="1" t="s">
        <v>478</v>
      </c>
      <c r="BC235" s="1" t="s">
        <v>487</v>
      </c>
      <c r="BD235" s="1" t="s">
        <v>746</v>
      </c>
    </row>
    <row r="236" spans="1:56" ht="15.75" customHeight="1">
      <c r="A236" s="1">
        <f t="shared" si="0"/>
        <v>30047</v>
      </c>
      <c r="B236" s="1">
        <v>2</v>
      </c>
      <c r="C236" s="1">
        <v>3</v>
      </c>
      <c r="D236" s="1">
        <v>3</v>
      </c>
      <c r="E236" s="1">
        <f t="shared" si="1"/>
        <v>4</v>
      </c>
      <c r="I236" s="1">
        <v>8.5000000000000006E-2</v>
      </c>
      <c r="K236" s="1">
        <v>17</v>
      </c>
      <c r="X236" s="1">
        <v>9</v>
      </c>
      <c r="AL236" s="1">
        <v>11</v>
      </c>
      <c r="AU236" s="1">
        <v>40</v>
      </c>
      <c r="AV236" s="1" t="s">
        <v>743</v>
      </c>
      <c r="AW236" s="1" t="s">
        <v>494</v>
      </c>
      <c r="AX236" s="1" t="s">
        <v>747</v>
      </c>
      <c r="AY236" s="1" t="s">
        <v>748</v>
      </c>
      <c r="AZ236" s="1" t="s">
        <v>493</v>
      </c>
      <c r="BA236" s="1" t="s">
        <v>745</v>
      </c>
      <c r="BB236" s="1" t="s">
        <v>482</v>
      </c>
      <c r="BC236" s="1" t="s">
        <v>487</v>
      </c>
      <c r="BD236" s="1" t="s">
        <v>746</v>
      </c>
    </row>
    <row r="237" spans="1:56" ht="15.75" customHeight="1">
      <c r="A237" s="1">
        <f t="shared" si="0"/>
        <v>30048</v>
      </c>
      <c r="B237" s="1">
        <v>0</v>
      </c>
      <c r="C237" s="1">
        <v>2</v>
      </c>
      <c r="D237" s="1">
        <v>3</v>
      </c>
      <c r="E237" s="1">
        <f t="shared" si="1"/>
        <v>0</v>
      </c>
      <c r="F237" s="1">
        <v>21</v>
      </c>
      <c r="G237" s="1">
        <v>52</v>
      </c>
      <c r="J237" s="1">
        <v>4</v>
      </c>
      <c r="Q237" s="1">
        <v>11</v>
      </c>
      <c r="R237" s="1"/>
      <c r="AU237" s="1">
        <v>30</v>
      </c>
      <c r="AV237" s="1" t="s">
        <v>749</v>
      </c>
      <c r="AW237" s="1" t="s">
        <v>946</v>
      </c>
      <c r="AX237" s="1" t="s">
        <v>161</v>
      </c>
      <c r="AY237" s="1" t="s">
        <v>176</v>
      </c>
      <c r="AZ237" s="1" t="s">
        <v>553</v>
      </c>
      <c r="BA237" s="1" t="s">
        <v>750</v>
      </c>
      <c r="BB237" s="1" t="s">
        <v>167</v>
      </c>
      <c r="BC237" s="1" t="s">
        <v>476</v>
      </c>
      <c r="BD237" s="1" t="s">
        <v>751</v>
      </c>
    </row>
    <row r="238" spans="1:56" ht="15.75" customHeight="1">
      <c r="A238" s="1">
        <f t="shared" si="0"/>
        <v>30048</v>
      </c>
      <c r="B238" s="1">
        <v>0</v>
      </c>
      <c r="C238" s="1">
        <v>2</v>
      </c>
      <c r="D238" s="1">
        <v>3</v>
      </c>
      <c r="E238" s="1">
        <f t="shared" si="1"/>
        <v>1</v>
      </c>
      <c r="F238" s="1">
        <v>21</v>
      </c>
      <c r="G238" s="1">
        <v>55</v>
      </c>
      <c r="J238" s="1">
        <v>4</v>
      </c>
      <c r="Q238" s="1">
        <v>11</v>
      </c>
      <c r="R238" s="1"/>
      <c r="AU238" s="1">
        <v>35</v>
      </c>
      <c r="AV238" s="1" t="s">
        <v>749</v>
      </c>
      <c r="AW238" s="1" t="s">
        <v>949</v>
      </c>
      <c r="AX238" s="1" t="s">
        <v>161</v>
      </c>
      <c r="AY238" s="1" t="s">
        <v>176</v>
      </c>
      <c r="AZ238" s="1" t="s">
        <v>553</v>
      </c>
      <c r="BA238" s="1" t="s">
        <v>750</v>
      </c>
      <c r="BB238" s="1" t="s">
        <v>516</v>
      </c>
      <c r="BC238" s="1" t="s">
        <v>476</v>
      </c>
      <c r="BD238" s="1" t="s">
        <v>751</v>
      </c>
    </row>
    <row r="239" spans="1:56" ht="15.75" customHeight="1">
      <c r="A239" s="1">
        <f t="shared" si="0"/>
        <v>30048</v>
      </c>
      <c r="B239" s="1">
        <v>0</v>
      </c>
      <c r="C239" s="1">
        <v>2</v>
      </c>
      <c r="D239" s="1">
        <v>3</v>
      </c>
      <c r="E239" s="1">
        <f t="shared" si="1"/>
        <v>2</v>
      </c>
      <c r="F239" s="1">
        <v>28</v>
      </c>
      <c r="G239" s="1">
        <v>59</v>
      </c>
      <c r="J239" s="1">
        <v>4</v>
      </c>
      <c r="Q239" s="1">
        <v>11</v>
      </c>
      <c r="R239" s="1"/>
      <c r="AU239" s="1">
        <v>35</v>
      </c>
      <c r="AV239" s="1" t="s">
        <v>749</v>
      </c>
      <c r="AW239" s="1" t="s">
        <v>952</v>
      </c>
      <c r="AX239" s="1" t="s">
        <v>544</v>
      </c>
      <c r="AY239" s="1" t="s">
        <v>176</v>
      </c>
      <c r="AZ239" s="1" t="s">
        <v>553</v>
      </c>
      <c r="BA239" s="1" t="s">
        <v>750</v>
      </c>
      <c r="BB239" s="1" t="s">
        <v>516</v>
      </c>
      <c r="BC239" s="1" t="s">
        <v>476</v>
      </c>
      <c r="BD239" s="1" t="s">
        <v>751</v>
      </c>
    </row>
    <row r="240" spans="1:56" ht="15.75" customHeight="1">
      <c r="A240" s="1">
        <f t="shared" si="0"/>
        <v>30048</v>
      </c>
      <c r="B240" s="1">
        <v>0</v>
      </c>
      <c r="C240" s="1">
        <v>2</v>
      </c>
      <c r="D240" s="1">
        <v>3</v>
      </c>
      <c r="E240" s="1">
        <f t="shared" si="1"/>
        <v>3</v>
      </c>
      <c r="F240" s="1">
        <v>28</v>
      </c>
      <c r="G240" s="1">
        <v>62</v>
      </c>
      <c r="J240" s="1">
        <v>6</v>
      </c>
      <c r="Q240" s="1">
        <v>11</v>
      </c>
      <c r="R240" s="1"/>
      <c r="AU240" s="1">
        <v>35</v>
      </c>
      <c r="AV240" s="1" t="s">
        <v>749</v>
      </c>
      <c r="AW240" s="1" t="s">
        <v>955</v>
      </c>
      <c r="AX240" s="1" t="s">
        <v>544</v>
      </c>
      <c r="AY240" s="1" t="s">
        <v>519</v>
      </c>
      <c r="AZ240" s="1" t="s">
        <v>553</v>
      </c>
      <c r="BA240" s="1" t="s">
        <v>750</v>
      </c>
      <c r="BB240" s="1" t="s">
        <v>516</v>
      </c>
      <c r="BC240" s="1" t="s">
        <v>476</v>
      </c>
      <c r="BD240" s="1" t="s">
        <v>751</v>
      </c>
    </row>
    <row r="241" spans="1:56" ht="15.75" customHeight="1">
      <c r="A241" s="1">
        <f t="shared" si="0"/>
        <v>30048</v>
      </c>
      <c r="B241" s="1">
        <v>0</v>
      </c>
      <c r="C241" s="1">
        <v>2</v>
      </c>
      <c r="D241" s="1">
        <v>3</v>
      </c>
      <c r="E241" s="1">
        <f t="shared" si="1"/>
        <v>4</v>
      </c>
      <c r="F241" s="1">
        <v>28</v>
      </c>
      <c r="G241" s="1">
        <v>65</v>
      </c>
      <c r="J241" s="1">
        <v>6</v>
      </c>
      <c r="Q241" s="1">
        <v>15</v>
      </c>
      <c r="R241" s="1"/>
      <c r="AU241" s="1">
        <v>40</v>
      </c>
      <c r="AV241" s="1" t="s">
        <v>749</v>
      </c>
      <c r="AW241" s="1" t="s">
        <v>958</v>
      </c>
      <c r="AX241" s="1" t="s">
        <v>544</v>
      </c>
      <c r="AY241" s="1" t="s">
        <v>519</v>
      </c>
      <c r="AZ241" s="1" t="s">
        <v>558</v>
      </c>
      <c r="BA241" s="1" t="s">
        <v>750</v>
      </c>
      <c r="BB241" s="1" t="s">
        <v>522</v>
      </c>
      <c r="BC241" s="1" t="s">
        <v>476</v>
      </c>
      <c r="BD241" s="1" t="s">
        <v>751</v>
      </c>
    </row>
    <row r="242" spans="1:56" ht="15.75" customHeight="1">
      <c r="A242" s="1">
        <f t="shared" si="0"/>
        <v>30049</v>
      </c>
      <c r="B242" s="1">
        <v>1</v>
      </c>
      <c r="C242" s="1">
        <v>2</v>
      </c>
      <c r="D242" s="1">
        <v>3</v>
      </c>
      <c r="E242" s="1">
        <f t="shared" si="1"/>
        <v>0</v>
      </c>
      <c r="F242" s="1">
        <v>21</v>
      </c>
      <c r="G242" s="1">
        <v>52</v>
      </c>
      <c r="K242" s="1">
        <v>13</v>
      </c>
      <c r="Y242" s="1">
        <v>7</v>
      </c>
      <c r="AU242" s="1">
        <v>30</v>
      </c>
      <c r="AV242" s="1" t="s">
        <v>752</v>
      </c>
      <c r="AW242" s="1" t="s">
        <v>945</v>
      </c>
      <c r="AX242" s="1" t="s">
        <v>220</v>
      </c>
      <c r="AY242" s="1" t="s">
        <v>221</v>
      </c>
      <c r="AZ242" s="1" t="s">
        <v>644</v>
      </c>
      <c r="BA242" s="1" t="s">
        <v>753</v>
      </c>
      <c r="BB242" s="1" t="s">
        <v>214</v>
      </c>
      <c r="BC242" s="1" t="s">
        <v>487</v>
      </c>
      <c r="BD242" s="1" t="s">
        <v>754</v>
      </c>
    </row>
    <row r="243" spans="1:56" ht="15.75" customHeight="1">
      <c r="A243" s="1">
        <f t="shared" si="0"/>
        <v>30049</v>
      </c>
      <c r="B243" s="1">
        <v>1</v>
      </c>
      <c r="C243" s="1">
        <v>2</v>
      </c>
      <c r="D243" s="1">
        <v>3</v>
      </c>
      <c r="E243" s="1">
        <f t="shared" si="1"/>
        <v>1</v>
      </c>
      <c r="F243" s="1">
        <v>21</v>
      </c>
      <c r="G243" s="1">
        <v>55</v>
      </c>
      <c r="K243" s="1">
        <v>13</v>
      </c>
      <c r="Y243" s="1">
        <v>7</v>
      </c>
      <c r="AU243" s="1">
        <v>35</v>
      </c>
      <c r="AV243" s="1" t="s">
        <v>752</v>
      </c>
      <c r="AW243" s="1" t="s">
        <v>948</v>
      </c>
      <c r="AX243" s="1" t="s">
        <v>220</v>
      </c>
      <c r="AY243" s="1" t="s">
        <v>221</v>
      </c>
      <c r="AZ243" s="1" t="s">
        <v>644</v>
      </c>
      <c r="BA243" s="1" t="s">
        <v>753</v>
      </c>
      <c r="BB243" s="1" t="s">
        <v>503</v>
      </c>
      <c r="BC243" s="1" t="s">
        <v>487</v>
      </c>
      <c r="BD243" s="1" t="s">
        <v>754</v>
      </c>
    </row>
    <row r="244" spans="1:56" ht="15.75" customHeight="1">
      <c r="A244" s="1">
        <f t="shared" si="0"/>
        <v>30049</v>
      </c>
      <c r="B244" s="1">
        <v>1</v>
      </c>
      <c r="C244" s="1">
        <v>2</v>
      </c>
      <c r="D244" s="1">
        <v>3</v>
      </c>
      <c r="E244" s="1">
        <f t="shared" si="1"/>
        <v>2</v>
      </c>
      <c r="F244" s="1">
        <v>28</v>
      </c>
      <c r="G244" s="1">
        <v>59</v>
      </c>
      <c r="K244" s="1">
        <v>13</v>
      </c>
      <c r="Y244" s="1">
        <v>7</v>
      </c>
      <c r="AU244" s="1">
        <v>35</v>
      </c>
      <c r="AV244" s="1" t="s">
        <v>752</v>
      </c>
      <c r="AW244" s="1" t="s">
        <v>951</v>
      </c>
      <c r="AX244" s="1" t="s">
        <v>537</v>
      </c>
      <c r="AY244" s="1" t="s">
        <v>221</v>
      </c>
      <c r="AZ244" s="1" t="s">
        <v>644</v>
      </c>
      <c r="BA244" s="1" t="s">
        <v>753</v>
      </c>
      <c r="BB244" s="1" t="s">
        <v>503</v>
      </c>
      <c r="BC244" s="1" t="s">
        <v>487</v>
      </c>
      <c r="BD244" s="1" t="s">
        <v>754</v>
      </c>
    </row>
    <row r="245" spans="1:56" ht="15.75" customHeight="1">
      <c r="A245" s="1">
        <f t="shared" si="0"/>
        <v>30049</v>
      </c>
      <c r="B245" s="1">
        <v>1</v>
      </c>
      <c r="C245" s="1">
        <v>2</v>
      </c>
      <c r="D245" s="1">
        <v>3</v>
      </c>
      <c r="E245" s="1">
        <f t="shared" si="1"/>
        <v>3</v>
      </c>
      <c r="F245" s="1">
        <v>28</v>
      </c>
      <c r="G245" s="1">
        <v>62</v>
      </c>
      <c r="K245" s="1">
        <v>17</v>
      </c>
      <c r="Y245" s="1">
        <v>7</v>
      </c>
      <c r="AU245" s="1">
        <v>35</v>
      </c>
      <c r="AV245" s="1" t="s">
        <v>752</v>
      </c>
      <c r="AW245" s="1" t="s">
        <v>954</v>
      </c>
      <c r="AX245" s="1" t="s">
        <v>537</v>
      </c>
      <c r="AY245" s="1" t="s">
        <v>538</v>
      </c>
      <c r="AZ245" s="1" t="s">
        <v>644</v>
      </c>
      <c r="BA245" s="1" t="s">
        <v>753</v>
      </c>
      <c r="BB245" s="1" t="s">
        <v>503</v>
      </c>
      <c r="BC245" s="1" t="s">
        <v>487</v>
      </c>
      <c r="BD245" s="1" t="s">
        <v>754</v>
      </c>
    </row>
    <row r="246" spans="1:56" ht="15.75" customHeight="1">
      <c r="A246" s="1">
        <f t="shared" si="0"/>
        <v>30049</v>
      </c>
      <c r="B246" s="1">
        <v>1</v>
      </c>
      <c r="C246" s="1">
        <v>2</v>
      </c>
      <c r="D246" s="1">
        <v>3</v>
      </c>
      <c r="E246" s="1">
        <f t="shared" si="1"/>
        <v>4</v>
      </c>
      <c r="F246" s="1">
        <v>28</v>
      </c>
      <c r="G246" s="1">
        <v>65</v>
      </c>
      <c r="K246" s="1">
        <v>17</v>
      </c>
      <c r="Y246" s="1">
        <v>9</v>
      </c>
      <c r="AU246" s="1">
        <v>40</v>
      </c>
      <c r="AV246" s="1" t="s">
        <v>752</v>
      </c>
      <c r="AW246" s="1" t="s">
        <v>957</v>
      </c>
      <c r="AX246" s="1" t="s">
        <v>537</v>
      </c>
      <c r="AY246" s="1" t="s">
        <v>538</v>
      </c>
      <c r="AZ246" s="1" t="s">
        <v>648</v>
      </c>
      <c r="BA246" s="1" t="s">
        <v>753</v>
      </c>
      <c r="BB246" s="1" t="s">
        <v>510</v>
      </c>
      <c r="BC246" s="1" t="s">
        <v>487</v>
      </c>
      <c r="BD246" s="1" t="s">
        <v>754</v>
      </c>
    </row>
    <row r="247" spans="1:56" ht="15.75" customHeight="1">
      <c r="A247" s="1">
        <f t="shared" si="0"/>
        <v>30050</v>
      </c>
      <c r="B247" s="1">
        <v>2</v>
      </c>
      <c r="C247" s="1">
        <v>3</v>
      </c>
      <c r="D247" s="1">
        <v>3</v>
      </c>
      <c r="E247" s="1">
        <f t="shared" si="1"/>
        <v>0</v>
      </c>
      <c r="F247" s="1">
        <v>21</v>
      </c>
      <c r="G247" s="1">
        <v>52</v>
      </c>
      <c r="J247" s="1">
        <v>4</v>
      </c>
      <c r="AH247" s="1">
        <v>3</v>
      </c>
      <c r="AU247" s="1">
        <v>30</v>
      </c>
      <c r="AV247" s="1" t="s">
        <v>755</v>
      </c>
      <c r="AW247" s="1" t="s">
        <v>944</v>
      </c>
      <c r="AX247" s="1" t="s">
        <v>146</v>
      </c>
      <c r="AY247" s="1" t="s">
        <v>193</v>
      </c>
      <c r="AZ247" s="1" t="s">
        <v>756</v>
      </c>
      <c r="BA247" s="1" t="s">
        <v>757</v>
      </c>
      <c r="BB247" s="1" t="s">
        <v>152</v>
      </c>
      <c r="BC247" s="1" t="s">
        <v>487</v>
      </c>
      <c r="BD247" s="1" t="s">
        <v>758</v>
      </c>
    </row>
    <row r="248" spans="1:56" ht="15.75" customHeight="1">
      <c r="A248" s="1">
        <f t="shared" si="0"/>
        <v>30050</v>
      </c>
      <c r="B248" s="1">
        <v>2</v>
      </c>
      <c r="C248" s="1">
        <v>3</v>
      </c>
      <c r="D248" s="1">
        <v>3</v>
      </c>
      <c r="E248" s="1">
        <f t="shared" si="1"/>
        <v>1</v>
      </c>
      <c r="F248" s="1">
        <v>21</v>
      </c>
      <c r="G248" s="1">
        <v>55</v>
      </c>
      <c r="J248" s="1">
        <v>4</v>
      </c>
      <c r="AH248" s="1">
        <v>3</v>
      </c>
      <c r="AU248" s="1">
        <v>35</v>
      </c>
      <c r="AV248" s="1" t="s">
        <v>755</v>
      </c>
      <c r="AW248" s="1" t="s">
        <v>947</v>
      </c>
      <c r="AX248" s="1" t="s">
        <v>146</v>
      </c>
      <c r="AY248" s="1" t="s">
        <v>193</v>
      </c>
      <c r="AZ248" s="1" t="s">
        <v>756</v>
      </c>
      <c r="BA248" s="1" t="s">
        <v>757</v>
      </c>
      <c r="BB248" s="1" t="s">
        <v>478</v>
      </c>
      <c r="BC248" s="1" t="s">
        <v>487</v>
      </c>
      <c r="BD248" s="1" t="s">
        <v>758</v>
      </c>
    </row>
    <row r="249" spans="1:56" ht="15.75" customHeight="1">
      <c r="A249" s="1">
        <f t="shared" si="0"/>
        <v>30050</v>
      </c>
      <c r="B249" s="1">
        <v>2</v>
      </c>
      <c r="C249" s="1">
        <v>3</v>
      </c>
      <c r="D249" s="1">
        <v>3</v>
      </c>
      <c r="E249" s="1">
        <f t="shared" si="1"/>
        <v>2</v>
      </c>
      <c r="F249" s="1">
        <v>28</v>
      </c>
      <c r="G249" s="1">
        <v>59</v>
      </c>
      <c r="J249" s="1">
        <v>4</v>
      </c>
      <c r="AH249" s="1">
        <v>3</v>
      </c>
      <c r="AU249" s="1">
        <v>35</v>
      </c>
      <c r="AV249" s="1" t="s">
        <v>755</v>
      </c>
      <c r="AW249" s="1" t="s">
        <v>950</v>
      </c>
      <c r="AX249" s="1" t="s">
        <v>532</v>
      </c>
      <c r="AY249" s="1" t="s">
        <v>193</v>
      </c>
      <c r="AZ249" s="1" t="s">
        <v>756</v>
      </c>
      <c r="BA249" s="1" t="s">
        <v>757</v>
      </c>
      <c r="BB249" s="1" t="s">
        <v>478</v>
      </c>
      <c r="BC249" s="1" t="s">
        <v>487</v>
      </c>
      <c r="BD249" s="1" t="s">
        <v>758</v>
      </c>
    </row>
    <row r="250" spans="1:56" ht="15.75" customHeight="1">
      <c r="A250" s="1">
        <f t="shared" si="0"/>
        <v>30050</v>
      </c>
      <c r="B250" s="1">
        <v>2</v>
      </c>
      <c r="C250" s="1">
        <v>3</v>
      </c>
      <c r="D250" s="1">
        <v>3</v>
      </c>
      <c r="E250" s="1">
        <f t="shared" si="1"/>
        <v>3</v>
      </c>
      <c r="F250" s="1">
        <v>28</v>
      </c>
      <c r="G250" s="1">
        <v>62</v>
      </c>
      <c r="J250" s="1">
        <v>6</v>
      </c>
      <c r="AH250" s="1">
        <v>3</v>
      </c>
      <c r="AU250" s="1">
        <v>35</v>
      </c>
      <c r="AV250" s="1" t="s">
        <v>755</v>
      </c>
      <c r="AW250" s="1" t="s">
        <v>953</v>
      </c>
      <c r="AX250" s="1" t="s">
        <v>532</v>
      </c>
      <c r="AY250" s="1" t="s">
        <v>480</v>
      </c>
      <c r="AZ250" s="1" t="s">
        <v>756</v>
      </c>
      <c r="BA250" s="1" t="s">
        <v>757</v>
      </c>
      <c r="BB250" s="1" t="s">
        <v>478</v>
      </c>
      <c r="BC250" s="1" t="s">
        <v>487</v>
      </c>
      <c r="BD250" s="1" t="s">
        <v>758</v>
      </c>
    </row>
    <row r="251" spans="1:56" ht="15.75" customHeight="1">
      <c r="A251" s="1">
        <f t="shared" si="0"/>
        <v>30050</v>
      </c>
      <c r="B251" s="1">
        <v>2</v>
      </c>
      <c r="C251" s="1">
        <v>3</v>
      </c>
      <c r="D251" s="1">
        <v>3</v>
      </c>
      <c r="E251" s="1">
        <f t="shared" si="1"/>
        <v>4</v>
      </c>
      <c r="F251" s="1">
        <v>28</v>
      </c>
      <c r="G251" s="1">
        <v>65</v>
      </c>
      <c r="J251" s="1">
        <v>6</v>
      </c>
      <c r="AH251" s="1">
        <v>4</v>
      </c>
      <c r="AU251" s="1">
        <v>40</v>
      </c>
      <c r="AV251" s="1" t="s">
        <v>755</v>
      </c>
      <c r="AW251" s="1" t="s">
        <v>956</v>
      </c>
      <c r="AX251" s="1" t="s">
        <v>532</v>
      </c>
      <c r="AY251" s="1" t="s">
        <v>480</v>
      </c>
      <c r="AZ251" s="1" t="s">
        <v>759</v>
      </c>
      <c r="BA251" s="1" t="s">
        <v>757</v>
      </c>
      <c r="BB251" s="1" t="s">
        <v>482</v>
      </c>
      <c r="BC251" s="1" t="s">
        <v>487</v>
      </c>
      <c r="BD251" s="1" t="s">
        <v>758</v>
      </c>
    </row>
    <row r="252" spans="1:56" ht="15.75" customHeight="1">
      <c r="A252" s="1">
        <f t="shared" si="0"/>
        <v>30051</v>
      </c>
      <c r="B252" s="1">
        <v>1</v>
      </c>
      <c r="C252" s="1">
        <v>0</v>
      </c>
      <c r="D252" s="1">
        <v>3</v>
      </c>
      <c r="E252" s="1">
        <f t="shared" si="1"/>
        <v>0</v>
      </c>
      <c r="F252" s="1">
        <v>21</v>
      </c>
      <c r="G252" s="1">
        <v>52</v>
      </c>
      <c r="K252" s="1">
        <v>13</v>
      </c>
      <c r="AB252" s="1">
        <v>2</v>
      </c>
      <c r="AU252" s="1">
        <v>30</v>
      </c>
      <c r="AV252" s="1" t="s">
        <v>760</v>
      </c>
      <c r="AW252" s="1" t="s">
        <v>945</v>
      </c>
      <c r="AX252" s="1" t="s">
        <v>220</v>
      </c>
      <c r="AY252" s="1" t="s">
        <v>221</v>
      </c>
      <c r="AZ252" s="1" t="s">
        <v>499</v>
      </c>
      <c r="BA252" s="1" t="s">
        <v>761</v>
      </c>
      <c r="BB252" s="1" t="s">
        <v>214</v>
      </c>
      <c r="BC252" s="1" t="s">
        <v>476</v>
      </c>
      <c r="BD252" s="1" t="s">
        <v>762</v>
      </c>
    </row>
    <row r="253" spans="1:56" ht="15.75" customHeight="1">
      <c r="A253" s="1">
        <f t="shared" si="0"/>
        <v>30051</v>
      </c>
      <c r="B253" s="1">
        <v>1</v>
      </c>
      <c r="C253" s="1">
        <v>0</v>
      </c>
      <c r="D253" s="1">
        <v>3</v>
      </c>
      <c r="E253" s="1">
        <f t="shared" si="1"/>
        <v>1</v>
      </c>
      <c r="F253" s="1">
        <v>21</v>
      </c>
      <c r="G253" s="1">
        <v>55</v>
      </c>
      <c r="K253" s="1">
        <v>13</v>
      </c>
      <c r="AB253" s="1">
        <v>2</v>
      </c>
      <c r="AU253" s="1">
        <v>35</v>
      </c>
      <c r="AV253" s="1" t="s">
        <v>760</v>
      </c>
      <c r="AW253" s="1" t="s">
        <v>948</v>
      </c>
      <c r="AX253" s="1" t="s">
        <v>220</v>
      </c>
      <c r="AY253" s="1" t="s">
        <v>221</v>
      </c>
      <c r="AZ253" s="1" t="s">
        <v>499</v>
      </c>
      <c r="BA253" s="1" t="s">
        <v>761</v>
      </c>
      <c r="BB253" s="1" t="s">
        <v>503</v>
      </c>
      <c r="BC253" s="1" t="s">
        <v>476</v>
      </c>
      <c r="BD253" s="1" t="s">
        <v>762</v>
      </c>
    </row>
    <row r="254" spans="1:56" ht="15.75" customHeight="1">
      <c r="A254" s="1">
        <f t="shared" si="0"/>
        <v>30051</v>
      </c>
      <c r="B254" s="1">
        <v>1</v>
      </c>
      <c r="C254" s="1">
        <v>0</v>
      </c>
      <c r="D254" s="1">
        <v>3</v>
      </c>
      <c r="E254" s="1">
        <f t="shared" si="1"/>
        <v>2</v>
      </c>
      <c r="F254" s="1">
        <v>28</v>
      </c>
      <c r="G254" s="1">
        <v>59</v>
      </c>
      <c r="K254" s="1">
        <v>13</v>
      </c>
      <c r="AB254" s="1">
        <v>2</v>
      </c>
      <c r="AU254" s="1">
        <v>35</v>
      </c>
      <c r="AV254" s="1" t="s">
        <v>760</v>
      </c>
      <c r="AW254" s="1" t="s">
        <v>951</v>
      </c>
      <c r="AX254" s="1" t="s">
        <v>537</v>
      </c>
      <c r="AY254" s="1" t="s">
        <v>221</v>
      </c>
      <c r="AZ254" s="1" t="s">
        <v>499</v>
      </c>
      <c r="BA254" s="1" t="s">
        <v>761</v>
      </c>
      <c r="BB254" s="1" t="s">
        <v>503</v>
      </c>
      <c r="BC254" s="1" t="s">
        <v>476</v>
      </c>
      <c r="BD254" s="1" t="s">
        <v>762</v>
      </c>
    </row>
    <row r="255" spans="1:56" ht="15.75" customHeight="1">
      <c r="A255" s="1">
        <f t="shared" si="0"/>
        <v>30051</v>
      </c>
      <c r="B255" s="1">
        <v>1</v>
      </c>
      <c r="C255" s="1">
        <v>0</v>
      </c>
      <c r="D255" s="1">
        <v>3</v>
      </c>
      <c r="E255" s="1">
        <f t="shared" si="1"/>
        <v>3</v>
      </c>
      <c r="F255" s="1">
        <v>28</v>
      </c>
      <c r="G255" s="1">
        <v>62</v>
      </c>
      <c r="K255" s="1">
        <v>17</v>
      </c>
      <c r="AB255" s="1">
        <v>2</v>
      </c>
      <c r="AU255" s="1">
        <v>35</v>
      </c>
      <c r="AV255" s="1" t="s">
        <v>760</v>
      </c>
      <c r="AW255" s="1" t="s">
        <v>954</v>
      </c>
      <c r="AX255" s="1" t="s">
        <v>537</v>
      </c>
      <c r="AY255" s="1" t="s">
        <v>538</v>
      </c>
      <c r="AZ255" s="1" t="s">
        <v>499</v>
      </c>
      <c r="BA255" s="1" t="s">
        <v>761</v>
      </c>
      <c r="BB255" s="1" t="s">
        <v>503</v>
      </c>
      <c r="BC255" s="1" t="s">
        <v>476</v>
      </c>
      <c r="BD255" s="1" t="s">
        <v>762</v>
      </c>
    </row>
    <row r="256" spans="1:56" ht="15.75" customHeight="1">
      <c r="A256" s="1">
        <f t="shared" si="0"/>
        <v>30051</v>
      </c>
      <c r="B256" s="1">
        <v>1</v>
      </c>
      <c r="C256" s="1">
        <v>0</v>
      </c>
      <c r="D256" s="1">
        <v>3</v>
      </c>
      <c r="E256" s="1">
        <f t="shared" si="1"/>
        <v>4</v>
      </c>
      <c r="F256" s="1">
        <v>28</v>
      </c>
      <c r="G256" s="1">
        <v>65</v>
      </c>
      <c r="K256" s="1">
        <v>17</v>
      </c>
      <c r="AB256" s="1">
        <v>3</v>
      </c>
      <c r="AU256" s="1">
        <v>40</v>
      </c>
      <c r="AV256" s="1" t="s">
        <v>760</v>
      </c>
      <c r="AW256" s="1" t="s">
        <v>957</v>
      </c>
      <c r="AX256" s="1" t="s">
        <v>537</v>
      </c>
      <c r="AY256" s="1" t="s">
        <v>538</v>
      </c>
      <c r="AZ256" s="1" t="s">
        <v>509</v>
      </c>
      <c r="BA256" s="1" t="s">
        <v>761</v>
      </c>
      <c r="BB256" s="1" t="s">
        <v>510</v>
      </c>
      <c r="BC256" s="1" t="s">
        <v>476</v>
      </c>
      <c r="BD256" s="1" t="s">
        <v>762</v>
      </c>
    </row>
    <row r="257" spans="1:56" ht="15.75" customHeight="1">
      <c r="A257" s="1">
        <f t="shared" si="0"/>
        <v>30052</v>
      </c>
      <c r="B257" s="1">
        <v>1</v>
      </c>
      <c r="C257" s="1">
        <v>1</v>
      </c>
      <c r="D257" s="1">
        <v>3</v>
      </c>
      <c r="E257" s="1">
        <f t="shared" si="1"/>
        <v>0</v>
      </c>
      <c r="I257" s="1">
        <v>6.5000000000000002E-2</v>
      </c>
      <c r="K257" s="1">
        <v>13</v>
      </c>
      <c r="U257" s="1">
        <v>5</v>
      </c>
      <c r="AL257" s="1">
        <v>8</v>
      </c>
      <c r="AU257" s="1">
        <v>30</v>
      </c>
      <c r="AV257" s="1" t="s">
        <v>763</v>
      </c>
      <c r="AW257" s="1" t="s">
        <v>497</v>
      </c>
      <c r="AX257" s="1" t="s">
        <v>320</v>
      </c>
      <c r="AY257" s="1" t="s">
        <v>221</v>
      </c>
      <c r="AZ257" s="1" t="s">
        <v>226</v>
      </c>
      <c r="BA257" s="1" t="s">
        <v>764</v>
      </c>
      <c r="BB257" s="1" t="s">
        <v>214</v>
      </c>
      <c r="BC257" s="1" t="s">
        <v>487</v>
      </c>
      <c r="BD257" s="1" t="s">
        <v>765</v>
      </c>
    </row>
    <row r="258" spans="1:56" ht="15.75" customHeight="1">
      <c r="A258" s="1">
        <f t="shared" si="0"/>
        <v>30052</v>
      </c>
      <c r="B258" s="1">
        <v>1</v>
      </c>
      <c r="C258" s="1">
        <v>1</v>
      </c>
      <c r="D258" s="1">
        <v>3</v>
      </c>
      <c r="E258" s="1">
        <f t="shared" si="1"/>
        <v>1</v>
      </c>
      <c r="I258" s="1">
        <v>7.0000000000000007E-2</v>
      </c>
      <c r="K258" s="1">
        <v>13</v>
      </c>
      <c r="U258" s="1">
        <v>5</v>
      </c>
      <c r="AL258" s="1">
        <v>8</v>
      </c>
      <c r="AU258" s="1">
        <v>35</v>
      </c>
      <c r="AV258" s="1" t="s">
        <v>763</v>
      </c>
      <c r="AW258" s="1" t="s">
        <v>502</v>
      </c>
      <c r="AX258" s="1" t="s">
        <v>320</v>
      </c>
      <c r="AY258" s="1" t="s">
        <v>221</v>
      </c>
      <c r="AZ258" s="1" t="s">
        <v>226</v>
      </c>
      <c r="BA258" s="1" t="s">
        <v>764</v>
      </c>
      <c r="BB258" s="1" t="s">
        <v>503</v>
      </c>
      <c r="BC258" s="1" t="s">
        <v>487</v>
      </c>
      <c r="BD258" s="1" t="s">
        <v>765</v>
      </c>
    </row>
    <row r="259" spans="1:56" ht="15.75" customHeight="1">
      <c r="A259" s="1">
        <f t="shared" si="0"/>
        <v>30052</v>
      </c>
      <c r="B259" s="1">
        <v>1</v>
      </c>
      <c r="C259" s="1">
        <v>1</v>
      </c>
      <c r="D259" s="1">
        <v>3</v>
      </c>
      <c r="E259" s="1">
        <f t="shared" si="1"/>
        <v>2</v>
      </c>
      <c r="I259" s="1">
        <v>7.4999999999999997E-2</v>
      </c>
      <c r="K259" s="1">
        <v>13</v>
      </c>
      <c r="U259" s="1">
        <v>5</v>
      </c>
      <c r="AL259" s="1">
        <v>11</v>
      </c>
      <c r="AU259" s="1">
        <v>35</v>
      </c>
      <c r="AV259" s="1" t="s">
        <v>763</v>
      </c>
      <c r="AW259" s="1" t="s">
        <v>504</v>
      </c>
      <c r="AX259" s="1" t="s">
        <v>766</v>
      </c>
      <c r="AY259" s="1" t="s">
        <v>221</v>
      </c>
      <c r="AZ259" s="1" t="s">
        <v>226</v>
      </c>
      <c r="BA259" s="1" t="s">
        <v>764</v>
      </c>
      <c r="BB259" s="1" t="s">
        <v>503</v>
      </c>
      <c r="BC259" s="1" t="s">
        <v>487</v>
      </c>
      <c r="BD259" s="1" t="s">
        <v>765</v>
      </c>
    </row>
    <row r="260" spans="1:56" ht="15.75" customHeight="1">
      <c r="A260" s="1">
        <f t="shared" si="0"/>
        <v>30052</v>
      </c>
      <c r="B260" s="1">
        <v>1</v>
      </c>
      <c r="C260" s="1">
        <v>1</v>
      </c>
      <c r="D260" s="1">
        <v>3</v>
      </c>
      <c r="E260" s="1">
        <f t="shared" si="1"/>
        <v>3</v>
      </c>
      <c r="I260" s="1">
        <v>0.08</v>
      </c>
      <c r="K260" s="1">
        <v>17</v>
      </c>
      <c r="U260" s="1">
        <v>5</v>
      </c>
      <c r="AL260" s="1">
        <v>11</v>
      </c>
      <c r="AU260" s="1">
        <v>35</v>
      </c>
      <c r="AV260" s="1" t="s">
        <v>763</v>
      </c>
      <c r="AW260" s="1" t="s">
        <v>506</v>
      </c>
      <c r="AX260" s="1" t="s">
        <v>766</v>
      </c>
      <c r="AY260" s="1" t="s">
        <v>538</v>
      </c>
      <c r="AZ260" s="1" t="s">
        <v>226</v>
      </c>
      <c r="BA260" s="1" t="s">
        <v>764</v>
      </c>
      <c r="BB260" s="1" t="s">
        <v>503</v>
      </c>
      <c r="BC260" s="1" t="s">
        <v>487</v>
      </c>
      <c r="BD260" s="1" t="s">
        <v>765</v>
      </c>
    </row>
    <row r="261" spans="1:56" ht="15.75" customHeight="1">
      <c r="A261" s="1">
        <f t="shared" si="0"/>
        <v>30052</v>
      </c>
      <c r="B261" s="1">
        <v>1</v>
      </c>
      <c r="C261" s="1">
        <v>1</v>
      </c>
      <c r="D261" s="1">
        <v>3</v>
      </c>
      <c r="E261" s="1">
        <f t="shared" si="1"/>
        <v>4</v>
      </c>
      <c r="I261" s="1">
        <v>8.5000000000000006E-2</v>
      </c>
      <c r="K261" s="1">
        <v>17</v>
      </c>
      <c r="U261" s="1">
        <v>7</v>
      </c>
      <c r="AL261" s="1">
        <v>11</v>
      </c>
      <c r="AU261" s="1">
        <v>40</v>
      </c>
      <c r="AV261" s="1" t="s">
        <v>763</v>
      </c>
      <c r="AW261" s="1" t="s">
        <v>508</v>
      </c>
      <c r="AX261" s="1" t="s">
        <v>766</v>
      </c>
      <c r="AY261" s="1" t="s">
        <v>538</v>
      </c>
      <c r="AZ261" s="1" t="s">
        <v>651</v>
      </c>
      <c r="BA261" s="1" t="s">
        <v>764</v>
      </c>
      <c r="BB261" s="1" t="s">
        <v>510</v>
      </c>
      <c r="BC261" s="1" t="s">
        <v>487</v>
      </c>
      <c r="BD261" s="1" t="s">
        <v>765</v>
      </c>
    </row>
    <row r="262" spans="1:56" ht="15.75" customHeight="1">
      <c r="A262" s="1">
        <f t="shared" ref="A262:A316" si="2">A257+1</f>
        <v>30053</v>
      </c>
      <c r="B262" s="1">
        <v>2</v>
      </c>
      <c r="C262" s="1">
        <v>3</v>
      </c>
      <c r="D262" s="1">
        <v>3</v>
      </c>
      <c r="E262" s="1">
        <f t="shared" ref="E262:E291" si="3">E257</f>
        <v>0</v>
      </c>
      <c r="F262" s="1">
        <v>21</v>
      </c>
      <c r="G262" s="1">
        <v>52</v>
      </c>
      <c r="K262" s="1">
        <v>13</v>
      </c>
      <c r="AN262" s="1">
        <v>17</v>
      </c>
      <c r="AU262" s="1">
        <v>30</v>
      </c>
      <c r="AV262" s="1" t="s">
        <v>767</v>
      </c>
      <c r="AW262" s="1" t="s">
        <v>944</v>
      </c>
      <c r="AX262" s="1" t="s">
        <v>146</v>
      </c>
      <c r="AY262" s="1" t="s">
        <v>151</v>
      </c>
      <c r="AZ262" s="1" t="s">
        <v>768</v>
      </c>
      <c r="BA262" s="1" t="s">
        <v>769</v>
      </c>
      <c r="BB262" s="1" t="s">
        <v>152</v>
      </c>
      <c r="BC262" s="1" t="s">
        <v>487</v>
      </c>
      <c r="BD262" s="1" t="s">
        <v>770</v>
      </c>
    </row>
    <row r="263" spans="1:56" ht="15.75" customHeight="1">
      <c r="A263" s="1">
        <f t="shared" si="2"/>
        <v>30053</v>
      </c>
      <c r="B263" s="1">
        <v>2</v>
      </c>
      <c r="C263" s="1">
        <v>3</v>
      </c>
      <c r="D263" s="1">
        <v>3</v>
      </c>
      <c r="E263" s="1">
        <f t="shared" si="3"/>
        <v>1</v>
      </c>
      <c r="F263" s="1">
        <v>21</v>
      </c>
      <c r="G263" s="1">
        <v>55</v>
      </c>
      <c r="K263" s="1">
        <v>13</v>
      </c>
      <c r="AN263" s="1">
        <v>17</v>
      </c>
      <c r="AU263" s="1">
        <v>35</v>
      </c>
      <c r="AV263" s="1" t="s">
        <v>767</v>
      </c>
      <c r="AW263" s="1" t="s">
        <v>947</v>
      </c>
      <c r="AX263" s="1" t="s">
        <v>146</v>
      </c>
      <c r="AY263" s="1" t="s">
        <v>151</v>
      </c>
      <c r="AZ263" s="1" t="s">
        <v>768</v>
      </c>
      <c r="BA263" s="1" t="s">
        <v>769</v>
      </c>
      <c r="BB263" s="1" t="s">
        <v>478</v>
      </c>
      <c r="BC263" s="1" t="s">
        <v>487</v>
      </c>
      <c r="BD263" s="1" t="s">
        <v>770</v>
      </c>
    </row>
    <row r="264" spans="1:56" ht="15.75" customHeight="1">
      <c r="A264" s="1">
        <f t="shared" si="2"/>
        <v>30053</v>
      </c>
      <c r="B264" s="1">
        <v>2</v>
      </c>
      <c r="C264" s="1">
        <v>3</v>
      </c>
      <c r="D264" s="1">
        <v>3</v>
      </c>
      <c r="E264" s="1">
        <f t="shared" si="3"/>
        <v>2</v>
      </c>
      <c r="F264" s="1">
        <v>28</v>
      </c>
      <c r="G264" s="1">
        <v>59</v>
      </c>
      <c r="K264" s="1">
        <v>13</v>
      </c>
      <c r="AN264" s="1">
        <v>17</v>
      </c>
      <c r="AU264" s="1">
        <v>35</v>
      </c>
      <c r="AV264" s="1" t="s">
        <v>767</v>
      </c>
      <c r="AW264" s="1" t="s">
        <v>950</v>
      </c>
      <c r="AX264" s="1" t="s">
        <v>532</v>
      </c>
      <c r="AY264" s="1" t="s">
        <v>151</v>
      </c>
      <c r="AZ264" s="1" t="s">
        <v>768</v>
      </c>
      <c r="BA264" s="1" t="s">
        <v>769</v>
      </c>
      <c r="BB264" s="1" t="s">
        <v>478</v>
      </c>
      <c r="BC264" s="1" t="s">
        <v>487</v>
      </c>
      <c r="BD264" s="1" t="s">
        <v>770</v>
      </c>
    </row>
    <row r="265" spans="1:56" ht="15.75" customHeight="1">
      <c r="A265" s="1">
        <f t="shared" si="2"/>
        <v>30053</v>
      </c>
      <c r="B265" s="1">
        <v>2</v>
      </c>
      <c r="C265" s="1">
        <v>3</v>
      </c>
      <c r="D265" s="1">
        <v>3</v>
      </c>
      <c r="E265" s="1">
        <f t="shared" si="3"/>
        <v>3</v>
      </c>
      <c r="F265" s="1">
        <v>28</v>
      </c>
      <c r="G265" s="1">
        <v>62</v>
      </c>
      <c r="K265" s="1">
        <v>17</v>
      </c>
      <c r="AN265" s="1">
        <v>17</v>
      </c>
      <c r="AU265" s="1">
        <v>35</v>
      </c>
      <c r="AV265" s="1" t="s">
        <v>767</v>
      </c>
      <c r="AW265" s="1" t="s">
        <v>953</v>
      </c>
      <c r="AX265" s="1" t="s">
        <v>532</v>
      </c>
      <c r="AY265" s="1" t="s">
        <v>493</v>
      </c>
      <c r="AZ265" s="1" t="s">
        <v>768</v>
      </c>
      <c r="BA265" s="1" t="s">
        <v>769</v>
      </c>
      <c r="BB265" s="1" t="s">
        <v>478</v>
      </c>
      <c r="BC265" s="1" t="s">
        <v>487</v>
      </c>
      <c r="BD265" s="1" t="s">
        <v>770</v>
      </c>
    </row>
    <row r="266" spans="1:56" ht="15.75" customHeight="1">
      <c r="A266" s="1">
        <f t="shared" si="2"/>
        <v>30053</v>
      </c>
      <c r="B266" s="1">
        <v>2</v>
      </c>
      <c r="C266" s="1">
        <v>3</v>
      </c>
      <c r="D266" s="1">
        <v>3</v>
      </c>
      <c r="E266" s="1">
        <f t="shared" si="3"/>
        <v>4</v>
      </c>
      <c r="F266" s="1">
        <v>28</v>
      </c>
      <c r="G266" s="1">
        <v>65</v>
      </c>
      <c r="K266" s="1">
        <v>17</v>
      </c>
      <c r="AN266" s="1">
        <v>22</v>
      </c>
      <c r="AU266" s="1">
        <v>40</v>
      </c>
      <c r="AV266" s="1" t="s">
        <v>767</v>
      </c>
      <c r="AW266" s="1" t="s">
        <v>956</v>
      </c>
      <c r="AX266" s="1" t="s">
        <v>532</v>
      </c>
      <c r="AY266" s="1" t="s">
        <v>493</v>
      </c>
      <c r="AZ266" s="1" t="s">
        <v>771</v>
      </c>
      <c r="BA266" s="1" t="s">
        <v>769</v>
      </c>
      <c r="BB266" s="1" t="s">
        <v>482</v>
      </c>
      <c r="BC266" s="1" t="s">
        <v>487</v>
      </c>
      <c r="BD266" s="1" t="s">
        <v>770</v>
      </c>
    </row>
    <row r="267" spans="1:56" ht="15.75" customHeight="1">
      <c r="A267" s="1">
        <f t="shared" si="2"/>
        <v>30054</v>
      </c>
      <c r="B267" s="1">
        <v>0</v>
      </c>
      <c r="C267" s="1">
        <v>0</v>
      </c>
      <c r="D267" s="1">
        <v>3</v>
      </c>
      <c r="E267" s="1">
        <f t="shared" si="3"/>
        <v>0</v>
      </c>
      <c r="I267" s="1">
        <v>6.5000000000000002E-2</v>
      </c>
      <c r="K267" s="1">
        <v>9</v>
      </c>
      <c r="AC267" s="1">
        <v>1</v>
      </c>
      <c r="AU267" s="1">
        <v>30</v>
      </c>
      <c r="AV267" s="1" t="s">
        <v>772</v>
      </c>
      <c r="AW267" s="1" t="s">
        <v>512</v>
      </c>
      <c r="AX267" s="1" t="s">
        <v>680</v>
      </c>
      <c r="AY267" s="1" t="s">
        <v>773</v>
      </c>
      <c r="AZ267" s="1" t="s">
        <v>691</v>
      </c>
      <c r="BA267" s="1" t="s">
        <v>774</v>
      </c>
      <c r="BB267" s="1" t="s">
        <v>167</v>
      </c>
      <c r="BC267" s="1" t="s">
        <v>476</v>
      </c>
      <c r="BD267" s="1" t="s">
        <v>775</v>
      </c>
    </row>
    <row r="268" spans="1:56" ht="15.75" customHeight="1">
      <c r="A268" s="1">
        <f t="shared" si="2"/>
        <v>30054</v>
      </c>
      <c r="B268" s="1">
        <v>0</v>
      </c>
      <c r="C268" s="1">
        <v>0</v>
      </c>
      <c r="D268" s="1">
        <v>3</v>
      </c>
      <c r="E268" s="1">
        <f t="shared" si="3"/>
        <v>1</v>
      </c>
      <c r="I268" s="1">
        <v>7.0000000000000007E-2</v>
      </c>
      <c r="K268" s="1">
        <v>9</v>
      </c>
      <c r="AC268" s="1">
        <v>1</v>
      </c>
      <c r="AU268" s="1">
        <v>35</v>
      </c>
      <c r="AV268" s="1" t="s">
        <v>772</v>
      </c>
      <c r="AW268" s="1" t="s">
        <v>515</v>
      </c>
      <c r="AX268" s="1" t="s">
        <v>680</v>
      </c>
      <c r="AY268" s="1" t="s">
        <v>773</v>
      </c>
      <c r="AZ268" s="1" t="s">
        <v>691</v>
      </c>
      <c r="BA268" s="1" t="s">
        <v>774</v>
      </c>
      <c r="BB268" s="1" t="s">
        <v>516</v>
      </c>
      <c r="BC268" s="1" t="s">
        <v>476</v>
      </c>
      <c r="BD268" s="1" t="s">
        <v>775</v>
      </c>
    </row>
    <row r="269" spans="1:56" ht="15.75" customHeight="1">
      <c r="A269" s="1">
        <f t="shared" si="2"/>
        <v>30054</v>
      </c>
      <c r="B269" s="1">
        <v>0</v>
      </c>
      <c r="C269" s="1">
        <v>0</v>
      </c>
      <c r="D269" s="1">
        <v>3</v>
      </c>
      <c r="E269" s="1">
        <f t="shared" si="3"/>
        <v>2</v>
      </c>
      <c r="I269" s="1">
        <v>7.4999999999999997E-2</v>
      </c>
      <c r="K269" s="1">
        <v>9</v>
      </c>
      <c r="AC269" s="1">
        <v>1</v>
      </c>
      <c r="AU269" s="1">
        <v>35</v>
      </c>
      <c r="AV269" s="1" t="s">
        <v>772</v>
      </c>
      <c r="AW269" s="1" t="s">
        <v>517</v>
      </c>
      <c r="AX269" s="1" t="s">
        <v>174</v>
      </c>
      <c r="AY269" s="1" t="s">
        <v>773</v>
      </c>
      <c r="AZ269" s="1" t="s">
        <v>691</v>
      </c>
      <c r="BA269" s="1" t="s">
        <v>774</v>
      </c>
      <c r="BB269" s="1" t="s">
        <v>516</v>
      </c>
      <c r="BC269" s="1" t="s">
        <v>476</v>
      </c>
      <c r="BD269" s="1" t="s">
        <v>775</v>
      </c>
    </row>
    <row r="270" spans="1:56" ht="15.75" customHeight="1">
      <c r="A270" s="1">
        <f t="shared" si="2"/>
        <v>30054</v>
      </c>
      <c r="B270" s="1">
        <v>0</v>
      </c>
      <c r="C270" s="1">
        <v>0</v>
      </c>
      <c r="D270" s="1">
        <v>3</v>
      </c>
      <c r="E270" s="1">
        <f t="shared" si="3"/>
        <v>3</v>
      </c>
      <c r="I270" s="1">
        <v>0.08</v>
      </c>
      <c r="K270" s="1">
        <v>9</v>
      </c>
      <c r="AC270" s="1">
        <v>2</v>
      </c>
      <c r="AU270" s="1">
        <v>35</v>
      </c>
      <c r="AV270" s="1" t="s">
        <v>772</v>
      </c>
      <c r="AW270" s="1" t="s">
        <v>518</v>
      </c>
      <c r="AX270" s="1" t="s">
        <v>174</v>
      </c>
      <c r="AY270" s="1" t="s">
        <v>554</v>
      </c>
      <c r="AZ270" s="1" t="s">
        <v>691</v>
      </c>
      <c r="BA270" s="1" t="s">
        <v>774</v>
      </c>
      <c r="BB270" s="1" t="s">
        <v>516</v>
      </c>
      <c r="BC270" s="1" t="s">
        <v>476</v>
      </c>
      <c r="BD270" s="1" t="s">
        <v>775</v>
      </c>
    </row>
    <row r="271" spans="1:56" ht="15.75" customHeight="1">
      <c r="A271" s="1">
        <f t="shared" si="2"/>
        <v>30054</v>
      </c>
      <c r="B271" s="1">
        <v>0</v>
      </c>
      <c r="C271" s="1">
        <v>0</v>
      </c>
      <c r="D271" s="1">
        <v>3</v>
      </c>
      <c r="E271" s="1">
        <f t="shared" si="3"/>
        <v>4</v>
      </c>
      <c r="I271" s="1">
        <v>8.5000000000000006E-2</v>
      </c>
      <c r="K271" s="1">
        <v>13</v>
      </c>
      <c r="AC271" s="1">
        <v>2</v>
      </c>
      <c r="AU271" s="1">
        <v>40</v>
      </c>
      <c r="AV271" s="1" t="s">
        <v>772</v>
      </c>
      <c r="AW271" s="1" t="s">
        <v>520</v>
      </c>
      <c r="AX271" s="1" t="s">
        <v>174</v>
      </c>
      <c r="AY271" s="1" t="s">
        <v>554</v>
      </c>
      <c r="AZ271" s="1" t="s">
        <v>166</v>
      </c>
      <c r="BA271" s="1" t="s">
        <v>774</v>
      </c>
      <c r="BB271" s="1" t="s">
        <v>522</v>
      </c>
      <c r="BC271" s="1" t="s">
        <v>476</v>
      </c>
      <c r="BD271" s="1" t="s">
        <v>775</v>
      </c>
    </row>
    <row r="272" spans="1:56" ht="15.75" customHeight="1">
      <c r="A272" s="1">
        <f t="shared" si="2"/>
        <v>30055</v>
      </c>
      <c r="B272" s="1">
        <v>0</v>
      </c>
      <c r="C272" s="1">
        <v>2</v>
      </c>
      <c r="D272" s="1">
        <v>3</v>
      </c>
      <c r="E272" s="1">
        <f t="shared" si="3"/>
        <v>0</v>
      </c>
      <c r="G272" s="1">
        <v>52</v>
      </c>
      <c r="K272" s="1">
        <v>13</v>
      </c>
      <c r="Q272" s="1">
        <v>11</v>
      </c>
      <c r="R272" s="1"/>
      <c r="AF272" s="1">
        <v>3</v>
      </c>
      <c r="AU272" s="1">
        <v>30</v>
      </c>
      <c r="AV272" s="1" t="s">
        <v>776</v>
      </c>
      <c r="AW272" s="1" t="s">
        <v>946</v>
      </c>
      <c r="AX272" s="1" t="s">
        <v>777</v>
      </c>
      <c r="AY272" s="1" t="s">
        <v>166</v>
      </c>
      <c r="AZ272" s="1" t="s">
        <v>553</v>
      </c>
      <c r="BA272" s="1" t="s">
        <v>778</v>
      </c>
      <c r="BB272" s="1" t="s">
        <v>167</v>
      </c>
      <c r="BC272" s="1" t="s">
        <v>487</v>
      </c>
      <c r="BD272" s="1" t="s">
        <v>779</v>
      </c>
    </row>
    <row r="273" spans="1:56" ht="15.75" customHeight="1">
      <c r="A273" s="1">
        <f t="shared" si="2"/>
        <v>30055</v>
      </c>
      <c r="B273" s="1">
        <v>0</v>
      </c>
      <c r="C273" s="1">
        <v>2</v>
      </c>
      <c r="D273" s="1">
        <v>3</v>
      </c>
      <c r="E273" s="1">
        <f t="shared" si="3"/>
        <v>1</v>
      </c>
      <c r="G273" s="1">
        <v>55</v>
      </c>
      <c r="K273" s="1">
        <v>13</v>
      </c>
      <c r="Q273" s="1">
        <v>11</v>
      </c>
      <c r="R273" s="1"/>
      <c r="AF273" s="1">
        <v>3</v>
      </c>
      <c r="AU273" s="1">
        <v>35</v>
      </c>
      <c r="AV273" s="1" t="s">
        <v>776</v>
      </c>
      <c r="AW273" s="1" t="s">
        <v>949</v>
      </c>
      <c r="AX273" s="1" t="s">
        <v>777</v>
      </c>
      <c r="AY273" s="1" t="s">
        <v>166</v>
      </c>
      <c r="AZ273" s="1" t="s">
        <v>553</v>
      </c>
      <c r="BA273" s="1" t="s">
        <v>778</v>
      </c>
      <c r="BB273" s="1" t="s">
        <v>516</v>
      </c>
      <c r="BC273" s="1" t="s">
        <v>487</v>
      </c>
      <c r="BD273" s="1" t="s">
        <v>779</v>
      </c>
    </row>
    <row r="274" spans="1:56" ht="15.75" customHeight="1">
      <c r="A274" s="1">
        <f t="shared" si="2"/>
        <v>30055</v>
      </c>
      <c r="B274" s="1">
        <v>0</v>
      </c>
      <c r="C274" s="1">
        <v>2</v>
      </c>
      <c r="D274" s="1">
        <v>3</v>
      </c>
      <c r="E274" s="1">
        <f t="shared" si="3"/>
        <v>2</v>
      </c>
      <c r="G274" s="1">
        <v>59</v>
      </c>
      <c r="K274" s="1">
        <v>13</v>
      </c>
      <c r="Q274" s="1">
        <v>11</v>
      </c>
      <c r="R274" s="1"/>
      <c r="AF274" s="1">
        <v>4</v>
      </c>
      <c r="AU274" s="1">
        <v>35</v>
      </c>
      <c r="AV274" s="1" t="s">
        <v>776</v>
      </c>
      <c r="AW274" s="1" t="s">
        <v>952</v>
      </c>
      <c r="AX274" s="1" t="s">
        <v>780</v>
      </c>
      <c r="AY274" s="1" t="s">
        <v>166</v>
      </c>
      <c r="AZ274" s="1" t="s">
        <v>553</v>
      </c>
      <c r="BA274" s="1" t="s">
        <v>778</v>
      </c>
      <c r="BB274" s="1" t="s">
        <v>516</v>
      </c>
      <c r="BC274" s="1" t="s">
        <v>487</v>
      </c>
      <c r="BD274" s="1" t="s">
        <v>779</v>
      </c>
    </row>
    <row r="275" spans="1:56" ht="15.75" customHeight="1">
      <c r="A275" s="1">
        <f t="shared" si="2"/>
        <v>30055</v>
      </c>
      <c r="B275" s="1">
        <v>0</v>
      </c>
      <c r="C275" s="1">
        <v>2</v>
      </c>
      <c r="D275" s="1">
        <v>3</v>
      </c>
      <c r="E275" s="1">
        <f t="shared" si="3"/>
        <v>3</v>
      </c>
      <c r="G275" s="1">
        <v>62</v>
      </c>
      <c r="K275" s="1">
        <v>17</v>
      </c>
      <c r="Q275" s="1">
        <v>11</v>
      </c>
      <c r="R275" s="1"/>
      <c r="AF275" s="1">
        <v>4</v>
      </c>
      <c r="AU275" s="1">
        <v>35</v>
      </c>
      <c r="AV275" s="1" t="s">
        <v>776</v>
      </c>
      <c r="AW275" s="1" t="s">
        <v>955</v>
      </c>
      <c r="AX275" s="1" t="s">
        <v>780</v>
      </c>
      <c r="AY275" s="1" t="s">
        <v>545</v>
      </c>
      <c r="AZ275" s="1" t="s">
        <v>553</v>
      </c>
      <c r="BA275" s="1" t="s">
        <v>778</v>
      </c>
      <c r="BB275" s="1" t="s">
        <v>516</v>
      </c>
      <c r="BC275" s="1" t="s">
        <v>487</v>
      </c>
      <c r="BD275" s="1" t="s">
        <v>779</v>
      </c>
    </row>
    <row r="276" spans="1:56" ht="15.75" customHeight="1">
      <c r="A276" s="1">
        <f t="shared" si="2"/>
        <v>30055</v>
      </c>
      <c r="B276" s="1">
        <v>0</v>
      </c>
      <c r="C276" s="1">
        <v>2</v>
      </c>
      <c r="D276" s="1">
        <v>3</v>
      </c>
      <c r="E276" s="1">
        <f t="shared" si="3"/>
        <v>4</v>
      </c>
      <c r="G276" s="1">
        <v>65</v>
      </c>
      <c r="K276" s="1">
        <v>17</v>
      </c>
      <c r="Q276" s="1">
        <v>15</v>
      </c>
      <c r="R276" s="1"/>
      <c r="AF276" s="1">
        <v>4</v>
      </c>
      <c r="AU276" s="1">
        <v>40</v>
      </c>
      <c r="AV276" s="1" t="s">
        <v>776</v>
      </c>
      <c r="AW276" s="1" t="s">
        <v>958</v>
      </c>
      <c r="AX276" s="1" t="s">
        <v>780</v>
      </c>
      <c r="AY276" s="1" t="s">
        <v>545</v>
      </c>
      <c r="AZ276" s="1" t="s">
        <v>558</v>
      </c>
      <c r="BA276" s="1" t="s">
        <v>778</v>
      </c>
      <c r="BB276" s="1" t="s">
        <v>522</v>
      </c>
      <c r="BC276" s="1" t="s">
        <v>487</v>
      </c>
      <c r="BD276" s="1" t="s">
        <v>779</v>
      </c>
    </row>
    <row r="277" spans="1:56" ht="15.75" customHeight="1">
      <c r="A277" s="1">
        <f t="shared" si="2"/>
        <v>30056</v>
      </c>
      <c r="B277" s="1">
        <v>1</v>
      </c>
      <c r="C277" s="1">
        <v>0</v>
      </c>
      <c r="D277" s="1">
        <v>3</v>
      </c>
      <c r="E277" s="1">
        <f t="shared" si="3"/>
        <v>0</v>
      </c>
      <c r="G277" s="1">
        <v>52</v>
      </c>
      <c r="U277" s="1">
        <v>5</v>
      </c>
      <c r="AO277" s="1">
        <v>16</v>
      </c>
      <c r="AT277" s="1">
        <v>17</v>
      </c>
      <c r="AU277" s="1">
        <v>30</v>
      </c>
      <c r="AV277" s="1" t="s">
        <v>781</v>
      </c>
      <c r="AW277" s="1" t="s">
        <v>945</v>
      </c>
      <c r="AX277" s="1" t="s">
        <v>1086</v>
      </c>
      <c r="AY277" s="1" t="s">
        <v>782</v>
      </c>
      <c r="AZ277" s="1" t="s">
        <v>783</v>
      </c>
      <c r="BA277" s="1" t="s">
        <v>784</v>
      </c>
      <c r="BB277" s="1" t="s">
        <v>214</v>
      </c>
      <c r="BC277" s="1" t="s">
        <v>476</v>
      </c>
      <c r="BD277" s="1" t="s">
        <v>785</v>
      </c>
    </row>
    <row r="278" spans="1:56" ht="15.75" customHeight="1">
      <c r="A278" s="1">
        <f t="shared" si="2"/>
        <v>30056</v>
      </c>
      <c r="B278" s="1">
        <v>1</v>
      </c>
      <c r="C278" s="1">
        <v>0</v>
      </c>
      <c r="D278" s="1">
        <v>3</v>
      </c>
      <c r="E278" s="1">
        <f t="shared" si="3"/>
        <v>1</v>
      </c>
      <c r="G278" s="1">
        <v>55</v>
      </c>
      <c r="U278" s="1">
        <v>5</v>
      </c>
      <c r="AO278" s="1">
        <v>16</v>
      </c>
      <c r="AT278" s="1">
        <v>17</v>
      </c>
      <c r="AU278" s="1">
        <v>35</v>
      </c>
      <c r="AV278" s="1" t="s">
        <v>781</v>
      </c>
      <c r="AW278" s="1" t="s">
        <v>948</v>
      </c>
      <c r="AX278" s="1" t="s">
        <v>1086</v>
      </c>
      <c r="AY278" s="1" t="s">
        <v>782</v>
      </c>
      <c r="AZ278" s="1" t="s">
        <v>783</v>
      </c>
      <c r="BA278" s="1" t="s">
        <v>784</v>
      </c>
      <c r="BB278" s="1" t="s">
        <v>503</v>
      </c>
      <c r="BC278" s="1" t="s">
        <v>476</v>
      </c>
      <c r="BD278" s="1" t="s">
        <v>785</v>
      </c>
    </row>
    <row r="279" spans="1:56" ht="15.75" customHeight="1">
      <c r="A279" s="1">
        <f t="shared" si="2"/>
        <v>30056</v>
      </c>
      <c r="B279" s="1">
        <v>1</v>
      </c>
      <c r="C279" s="1">
        <v>0</v>
      </c>
      <c r="D279" s="1">
        <v>3</v>
      </c>
      <c r="E279" s="1">
        <f t="shared" si="3"/>
        <v>2</v>
      </c>
      <c r="G279" s="1">
        <v>59</v>
      </c>
      <c r="U279" s="1">
        <v>5</v>
      </c>
      <c r="AO279" s="1">
        <v>16</v>
      </c>
      <c r="AT279" s="1">
        <v>22</v>
      </c>
      <c r="AU279" s="1">
        <v>35</v>
      </c>
      <c r="AV279" s="1" t="s">
        <v>781</v>
      </c>
      <c r="AW279" s="1" t="s">
        <v>951</v>
      </c>
      <c r="AX279" s="1" t="s">
        <v>1087</v>
      </c>
      <c r="AY279" s="1" t="s">
        <v>782</v>
      </c>
      <c r="AZ279" s="1" t="s">
        <v>783</v>
      </c>
      <c r="BA279" s="1" t="s">
        <v>784</v>
      </c>
      <c r="BB279" s="1" t="s">
        <v>503</v>
      </c>
      <c r="BC279" s="1" t="s">
        <v>476</v>
      </c>
      <c r="BD279" s="1" t="s">
        <v>785</v>
      </c>
    </row>
    <row r="280" spans="1:56" ht="15.75" customHeight="1">
      <c r="A280" s="1">
        <f t="shared" si="2"/>
        <v>30056</v>
      </c>
      <c r="B280" s="1">
        <v>1</v>
      </c>
      <c r="C280" s="1">
        <v>0</v>
      </c>
      <c r="D280" s="1">
        <v>3</v>
      </c>
      <c r="E280" s="1">
        <f t="shared" si="3"/>
        <v>3</v>
      </c>
      <c r="G280" s="1">
        <v>62</v>
      </c>
      <c r="U280" s="1">
        <v>5</v>
      </c>
      <c r="AO280" s="1">
        <v>21</v>
      </c>
      <c r="AT280" s="1">
        <v>22</v>
      </c>
      <c r="AU280" s="1">
        <v>35</v>
      </c>
      <c r="AV280" s="1" t="s">
        <v>781</v>
      </c>
      <c r="AW280" s="1" t="s">
        <v>954</v>
      </c>
      <c r="AX280" s="1" t="s">
        <v>1087</v>
      </c>
      <c r="AY280" s="1" t="s">
        <v>786</v>
      </c>
      <c r="AZ280" s="1" t="s">
        <v>783</v>
      </c>
      <c r="BA280" s="1" t="s">
        <v>784</v>
      </c>
      <c r="BB280" s="1" t="s">
        <v>503</v>
      </c>
      <c r="BC280" s="1" t="s">
        <v>476</v>
      </c>
      <c r="BD280" s="1" t="s">
        <v>785</v>
      </c>
    </row>
    <row r="281" spans="1:56" ht="15.75" customHeight="1">
      <c r="A281" s="1">
        <f t="shared" si="2"/>
        <v>30056</v>
      </c>
      <c r="B281" s="1">
        <v>1</v>
      </c>
      <c r="C281" s="1">
        <v>0</v>
      </c>
      <c r="D281" s="1">
        <v>3</v>
      </c>
      <c r="E281" s="1">
        <f t="shared" si="3"/>
        <v>4</v>
      </c>
      <c r="G281" s="1">
        <v>65</v>
      </c>
      <c r="U281" s="1">
        <v>7</v>
      </c>
      <c r="AO281" s="1">
        <v>21</v>
      </c>
      <c r="AT281" s="1">
        <v>22</v>
      </c>
      <c r="AU281" s="1">
        <v>40</v>
      </c>
      <c r="AV281" s="1" t="s">
        <v>781</v>
      </c>
      <c r="AW281" s="1" t="s">
        <v>957</v>
      </c>
      <c r="AX281" s="1" t="s">
        <v>1087</v>
      </c>
      <c r="AY281" s="1" t="s">
        <v>786</v>
      </c>
      <c r="AZ281" s="1" t="s">
        <v>787</v>
      </c>
      <c r="BA281" s="1" t="s">
        <v>784</v>
      </c>
      <c r="BB281" s="1" t="s">
        <v>510</v>
      </c>
      <c r="BC281" s="1" t="s">
        <v>476</v>
      </c>
      <c r="BD281" s="1" t="s">
        <v>785</v>
      </c>
    </row>
    <row r="282" spans="1:56" ht="15.75" customHeight="1">
      <c r="A282" s="1">
        <f t="shared" si="2"/>
        <v>30057</v>
      </c>
      <c r="B282" s="1">
        <v>2</v>
      </c>
      <c r="C282" s="1">
        <v>0</v>
      </c>
      <c r="D282" s="1">
        <v>3</v>
      </c>
      <c r="E282" s="1">
        <f t="shared" si="3"/>
        <v>0</v>
      </c>
      <c r="I282" s="1">
        <v>6.5000000000000002E-2</v>
      </c>
      <c r="K282" s="1">
        <v>9</v>
      </c>
      <c r="AC282" s="1">
        <v>1</v>
      </c>
      <c r="AU282" s="1">
        <v>30</v>
      </c>
      <c r="AV282" s="1" t="s">
        <v>788</v>
      </c>
      <c r="AW282" s="1" t="s">
        <v>484</v>
      </c>
      <c r="AX282" s="1" t="s">
        <v>789</v>
      </c>
      <c r="AY282" s="1" t="s">
        <v>790</v>
      </c>
      <c r="AZ282" s="1" t="s">
        <v>704</v>
      </c>
      <c r="BA282" s="1" t="s">
        <v>791</v>
      </c>
      <c r="BB282" s="1" t="s">
        <v>152</v>
      </c>
      <c r="BC282" s="1" t="s">
        <v>476</v>
      </c>
      <c r="BD282" s="1" t="s">
        <v>792</v>
      </c>
    </row>
    <row r="283" spans="1:56" ht="15.75" customHeight="1">
      <c r="A283" s="1">
        <f t="shared" si="2"/>
        <v>30057</v>
      </c>
      <c r="B283" s="1">
        <v>2</v>
      </c>
      <c r="C283" s="1">
        <v>0</v>
      </c>
      <c r="D283" s="1">
        <v>3</v>
      </c>
      <c r="E283" s="1">
        <f t="shared" si="3"/>
        <v>1</v>
      </c>
      <c r="I283" s="1">
        <v>7.0000000000000007E-2</v>
      </c>
      <c r="K283" s="1">
        <v>9</v>
      </c>
      <c r="AC283" s="1">
        <v>1</v>
      </c>
      <c r="AU283" s="1">
        <v>35</v>
      </c>
      <c r="AV283" s="1" t="s">
        <v>788</v>
      </c>
      <c r="AW283" s="1" t="s">
        <v>489</v>
      </c>
      <c r="AX283" s="1" t="s">
        <v>789</v>
      </c>
      <c r="AY283" s="1" t="s">
        <v>790</v>
      </c>
      <c r="AZ283" s="1" t="s">
        <v>704</v>
      </c>
      <c r="BA283" s="1" t="s">
        <v>791</v>
      </c>
      <c r="BB283" s="1" t="s">
        <v>478</v>
      </c>
      <c r="BC283" s="1" t="s">
        <v>476</v>
      </c>
      <c r="BD283" s="1" t="s">
        <v>792</v>
      </c>
    </row>
    <row r="284" spans="1:56" ht="15.75" customHeight="1">
      <c r="A284" s="1">
        <f t="shared" si="2"/>
        <v>30057</v>
      </c>
      <c r="B284" s="1">
        <v>2</v>
      </c>
      <c r="C284" s="1">
        <v>0</v>
      </c>
      <c r="D284" s="1">
        <v>3</v>
      </c>
      <c r="E284" s="1">
        <f t="shared" si="3"/>
        <v>2</v>
      </c>
      <c r="I284" s="1">
        <v>7.4999999999999997E-2</v>
      </c>
      <c r="K284" s="1">
        <v>9</v>
      </c>
      <c r="AC284" s="1">
        <v>1</v>
      </c>
      <c r="AU284" s="1">
        <v>35</v>
      </c>
      <c r="AV284" s="1" t="s">
        <v>788</v>
      </c>
      <c r="AW284" s="1" t="s">
        <v>490</v>
      </c>
      <c r="AX284" s="1" t="s">
        <v>191</v>
      </c>
      <c r="AY284" s="1" t="s">
        <v>790</v>
      </c>
      <c r="AZ284" s="1" t="s">
        <v>704</v>
      </c>
      <c r="BA284" s="1" t="s">
        <v>791</v>
      </c>
      <c r="BB284" s="1" t="s">
        <v>478</v>
      </c>
      <c r="BC284" s="1" t="s">
        <v>476</v>
      </c>
      <c r="BD284" s="1" t="s">
        <v>792</v>
      </c>
    </row>
    <row r="285" spans="1:56" ht="15.75" customHeight="1">
      <c r="A285" s="1">
        <f t="shared" si="2"/>
        <v>30057</v>
      </c>
      <c r="B285" s="1">
        <v>2</v>
      </c>
      <c r="C285" s="1">
        <v>0</v>
      </c>
      <c r="D285" s="1">
        <v>3</v>
      </c>
      <c r="E285" s="1">
        <f t="shared" si="3"/>
        <v>3</v>
      </c>
      <c r="I285" s="1">
        <v>0.08</v>
      </c>
      <c r="K285" s="1">
        <v>9</v>
      </c>
      <c r="AC285" s="1">
        <v>2</v>
      </c>
      <c r="AU285" s="1">
        <v>35</v>
      </c>
      <c r="AV285" s="1" t="s">
        <v>788</v>
      </c>
      <c r="AW285" s="1" t="s">
        <v>492</v>
      </c>
      <c r="AX285" s="1" t="s">
        <v>191</v>
      </c>
      <c r="AY285" s="1" t="s">
        <v>524</v>
      </c>
      <c r="AZ285" s="1" t="s">
        <v>704</v>
      </c>
      <c r="BA285" s="1" t="s">
        <v>791</v>
      </c>
      <c r="BB285" s="1" t="s">
        <v>478</v>
      </c>
      <c r="BC285" s="1" t="s">
        <v>476</v>
      </c>
      <c r="BD285" s="1" t="s">
        <v>792</v>
      </c>
    </row>
    <row r="286" spans="1:56" ht="15.75" customHeight="1">
      <c r="A286" s="1">
        <f t="shared" si="2"/>
        <v>30057</v>
      </c>
      <c r="B286" s="1">
        <v>2</v>
      </c>
      <c r="C286" s="1">
        <v>0</v>
      </c>
      <c r="D286" s="1">
        <v>3</v>
      </c>
      <c r="E286" s="1">
        <f t="shared" si="3"/>
        <v>4</v>
      </c>
      <c r="I286" s="1">
        <v>8.5000000000000006E-2</v>
      </c>
      <c r="K286" s="1">
        <v>13</v>
      </c>
      <c r="AC286" s="1">
        <v>2</v>
      </c>
      <c r="AU286" s="1">
        <v>40</v>
      </c>
      <c r="AV286" s="1" t="s">
        <v>788</v>
      </c>
      <c r="AW286" s="1" t="s">
        <v>494</v>
      </c>
      <c r="AX286" s="1" t="s">
        <v>191</v>
      </c>
      <c r="AY286" s="1" t="s">
        <v>524</v>
      </c>
      <c r="AZ286" s="1" t="s">
        <v>151</v>
      </c>
      <c r="BA286" s="1" t="s">
        <v>791</v>
      </c>
      <c r="BB286" s="1" t="s">
        <v>482</v>
      </c>
      <c r="BC286" s="1" t="s">
        <v>476</v>
      </c>
      <c r="BD286" s="1" t="s">
        <v>792</v>
      </c>
    </row>
    <row r="287" spans="1:56" ht="15.75" customHeight="1">
      <c r="A287" s="1">
        <f t="shared" si="2"/>
        <v>30058</v>
      </c>
      <c r="B287" s="1">
        <v>2</v>
      </c>
      <c r="C287" s="1">
        <v>3</v>
      </c>
      <c r="D287" s="1">
        <v>3</v>
      </c>
      <c r="E287" s="1">
        <f t="shared" si="3"/>
        <v>0</v>
      </c>
      <c r="G287" s="1">
        <v>52</v>
      </c>
      <c r="K287" s="1">
        <v>13</v>
      </c>
      <c r="AM287" s="1">
        <v>17</v>
      </c>
      <c r="AO287" s="1">
        <v>16</v>
      </c>
      <c r="AU287" s="1">
        <v>30</v>
      </c>
      <c r="AV287" s="1" t="s">
        <v>793</v>
      </c>
      <c r="AW287" s="1" t="s">
        <v>944</v>
      </c>
      <c r="AX287" s="1" t="s">
        <v>794</v>
      </c>
      <c r="AY287" s="1" t="s">
        <v>151</v>
      </c>
      <c r="AZ287" s="1" t="s">
        <v>795</v>
      </c>
      <c r="BA287" s="1" t="s">
        <v>796</v>
      </c>
      <c r="BB287" s="1" t="s">
        <v>152</v>
      </c>
      <c r="BC287" s="1" t="s">
        <v>476</v>
      </c>
      <c r="BD287" s="1" t="s">
        <v>797</v>
      </c>
    </row>
    <row r="288" spans="1:56" ht="15.75" customHeight="1">
      <c r="A288" s="1">
        <f t="shared" si="2"/>
        <v>30058</v>
      </c>
      <c r="B288" s="1">
        <v>2</v>
      </c>
      <c r="C288" s="1">
        <v>3</v>
      </c>
      <c r="D288" s="1">
        <v>3</v>
      </c>
      <c r="E288" s="1">
        <f t="shared" si="3"/>
        <v>1</v>
      </c>
      <c r="G288" s="1">
        <v>55</v>
      </c>
      <c r="K288" s="1">
        <v>13</v>
      </c>
      <c r="AM288" s="1">
        <v>17</v>
      </c>
      <c r="AO288" s="1">
        <v>16</v>
      </c>
      <c r="AU288" s="1">
        <v>35</v>
      </c>
      <c r="AV288" s="1" t="s">
        <v>793</v>
      </c>
      <c r="AW288" s="1" t="s">
        <v>947</v>
      </c>
      <c r="AX288" s="1" t="s">
        <v>794</v>
      </c>
      <c r="AY288" s="1" t="s">
        <v>151</v>
      </c>
      <c r="AZ288" s="1" t="s">
        <v>795</v>
      </c>
      <c r="BA288" s="1" t="s">
        <v>796</v>
      </c>
      <c r="BB288" s="1" t="s">
        <v>478</v>
      </c>
      <c r="BC288" s="1" t="s">
        <v>476</v>
      </c>
      <c r="BD288" s="1" t="s">
        <v>797</v>
      </c>
    </row>
    <row r="289" spans="1:56" ht="15.75" customHeight="1">
      <c r="A289" s="1">
        <f t="shared" si="2"/>
        <v>30058</v>
      </c>
      <c r="B289" s="1">
        <v>2</v>
      </c>
      <c r="C289" s="1">
        <v>3</v>
      </c>
      <c r="D289" s="1">
        <v>3</v>
      </c>
      <c r="E289" s="1">
        <f t="shared" si="3"/>
        <v>2</v>
      </c>
      <c r="G289" s="1">
        <v>59</v>
      </c>
      <c r="K289" s="1">
        <v>13</v>
      </c>
      <c r="AM289" s="1">
        <v>17</v>
      </c>
      <c r="AO289" s="1">
        <v>21</v>
      </c>
      <c r="AU289" s="1">
        <v>35</v>
      </c>
      <c r="AV289" s="1" t="s">
        <v>793</v>
      </c>
      <c r="AW289" s="1" t="s">
        <v>950</v>
      </c>
      <c r="AX289" s="1" t="s">
        <v>798</v>
      </c>
      <c r="AY289" s="1" t="s">
        <v>151</v>
      </c>
      <c r="AZ289" s="1" t="s">
        <v>795</v>
      </c>
      <c r="BA289" s="1" t="s">
        <v>796</v>
      </c>
      <c r="BB289" s="1" t="s">
        <v>478</v>
      </c>
      <c r="BC289" s="1" t="s">
        <v>476</v>
      </c>
      <c r="BD289" s="1" t="s">
        <v>797</v>
      </c>
    </row>
    <row r="290" spans="1:56" ht="15.75" customHeight="1">
      <c r="A290" s="1">
        <f t="shared" si="2"/>
        <v>30058</v>
      </c>
      <c r="B290" s="1">
        <v>2</v>
      </c>
      <c r="C290" s="1">
        <v>3</v>
      </c>
      <c r="D290" s="1">
        <v>3</v>
      </c>
      <c r="E290" s="1">
        <f t="shared" si="3"/>
        <v>3</v>
      </c>
      <c r="G290" s="1">
        <v>62</v>
      </c>
      <c r="K290" s="1">
        <v>17</v>
      </c>
      <c r="AM290" s="1">
        <v>17</v>
      </c>
      <c r="AO290" s="1">
        <v>21</v>
      </c>
      <c r="AU290" s="1">
        <v>35</v>
      </c>
      <c r="AV290" s="1" t="s">
        <v>793</v>
      </c>
      <c r="AW290" s="1" t="s">
        <v>953</v>
      </c>
      <c r="AX290" s="1" t="s">
        <v>798</v>
      </c>
      <c r="AY290" s="1" t="s">
        <v>493</v>
      </c>
      <c r="AZ290" s="1" t="s">
        <v>795</v>
      </c>
      <c r="BA290" s="1" t="s">
        <v>796</v>
      </c>
      <c r="BB290" s="1" t="s">
        <v>478</v>
      </c>
      <c r="BC290" s="1" t="s">
        <v>476</v>
      </c>
      <c r="BD290" s="1" t="s">
        <v>797</v>
      </c>
    </row>
    <row r="291" spans="1:56" ht="15.75" customHeight="1">
      <c r="A291" s="1">
        <f t="shared" si="2"/>
        <v>30058</v>
      </c>
      <c r="B291" s="1">
        <v>2</v>
      </c>
      <c r="C291" s="1">
        <v>3</v>
      </c>
      <c r="D291" s="1">
        <v>3</v>
      </c>
      <c r="E291" s="1">
        <f t="shared" si="3"/>
        <v>4</v>
      </c>
      <c r="G291" s="1">
        <v>65</v>
      </c>
      <c r="K291" s="1">
        <v>17</v>
      </c>
      <c r="AM291" s="1">
        <v>22</v>
      </c>
      <c r="AO291" s="1">
        <v>21</v>
      </c>
      <c r="AU291" s="1">
        <v>40</v>
      </c>
      <c r="AV291" s="1" t="s">
        <v>793</v>
      </c>
      <c r="AW291" s="1" t="s">
        <v>956</v>
      </c>
      <c r="AX291" s="1" t="s">
        <v>798</v>
      </c>
      <c r="AY291" s="1" t="s">
        <v>493</v>
      </c>
      <c r="AZ291" s="1" t="s">
        <v>799</v>
      </c>
      <c r="BA291" s="1" t="s">
        <v>796</v>
      </c>
      <c r="BB291" s="1" t="s">
        <v>482</v>
      </c>
      <c r="BC291" s="1" t="s">
        <v>476</v>
      </c>
      <c r="BD291" s="1" t="s">
        <v>797</v>
      </c>
    </row>
    <row r="292" spans="1:56" ht="15.75" customHeight="1">
      <c r="A292" s="1">
        <f t="shared" si="2"/>
        <v>30059</v>
      </c>
      <c r="B292" s="1">
        <v>1</v>
      </c>
      <c r="C292" s="1">
        <v>3</v>
      </c>
      <c r="D292" s="1">
        <v>3</v>
      </c>
      <c r="E292" s="1">
        <v>0</v>
      </c>
      <c r="F292" s="1">
        <v>21</v>
      </c>
      <c r="G292" s="1">
        <v>52</v>
      </c>
      <c r="K292" s="1">
        <v>13</v>
      </c>
      <c r="AP292" s="1">
        <v>4</v>
      </c>
      <c r="AU292" s="1">
        <v>30</v>
      </c>
      <c r="AV292" s="1" t="s">
        <v>800</v>
      </c>
      <c r="AW292" s="1" t="s">
        <v>945</v>
      </c>
      <c r="AX292" s="1" t="s">
        <v>220</v>
      </c>
      <c r="AY292" s="1" t="s">
        <v>221</v>
      </c>
      <c r="AZ292" s="1" t="s">
        <v>801</v>
      </c>
      <c r="BA292" s="1" t="s">
        <v>802</v>
      </c>
      <c r="BB292" s="1" t="s">
        <v>214</v>
      </c>
      <c r="BC292" s="1" t="s">
        <v>487</v>
      </c>
      <c r="BD292" s="1" t="s">
        <v>803</v>
      </c>
    </row>
    <row r="293" spans="1:56" ht="15.75" customHeight="1">
      <c r="A293" s="1">
        <f t="shared" si="2"/>
        <v>30059</v>
      </c>
      <c r="B293" s="1">
        <v>1</v>
      </c>
      <c r="C293" s="1">
        <v>3</v>
      </c>
      <c r="D293" s="1">
        <v>3</v>
      </c>
      <c r="E293" s="1">
        <v>1</v>
      </c>
      <c r="F293" s="1">
        <v>21</v>
      </c>
      <c r="G293" s="1">
        <v>55</v>
      </c>
      <c r="K293" s="1">
        <v>13</v>
      </c>
      <c r="AP293" s="1">
        <v>4</v>
      </c>
      <c r="AU293" s="1">
        <v>35</v>
      </c>
      <c r="AV293" s="1" t="s">
        <v>800</v>
      </c>
      <c r="AW293" s="1" t="s">
        <v>948</v>
      </c>
      <c r="AX293" s="1" t="s">
        <v>220</v>
      </c>
      <c r="AY293" s="1" t="s">
        <v>221</v>
      </c>
      <c r="AZ293" s="1" t="s">
        <v>801</v>
      </c>
      <c r="BA293" s="1" t="s">
        <v>802</v>
      </c>
      <c r="BB293" s="1" t="s">
        <v>503</v>
      </c>
      <c r="BC293" s="1" t="s">
        <v>487</v>
      </c>
      <c r="BD293" s="1" t="s">
        <v>803</v>
      </c>
    </row>
    <row r="294" spans="1:56" ht="15.75" customHeight="1">
      <c r="A294" s="1">
        <f t="shared" si="2"/>
        <v>30059</v>
      </c>
      <c r="B294" s="1">
        <v>1</v>
      </c>
      <c r="C294" s="1">
        <v>3</v>
      </c>
      <c r="D294" s="1">
        <v>3</v>
      </c>
      <c r="E294" s="1">
        <v>2</v>
      </c>
      <c r="F294" s="1">
        <v>28</v>
      </c>
      <c r="G294" s="1">
        <v>59</v>
      </c>
      <c r="K294" s="1">
        <v>13</v>
      </c>
      <c r="AP294" s="1">
        <v>4</v>
      </c>
      <c r="AU294" s="1">
        <v>35</v>
      </c>
      <c r="AV294" s="1" t="s">
        <v>800</v>
      </c>
      <c r="AW294" s="1" t="s">
        <v>951</v>
      </c>
      <c r="AX294" s="1" t="s">
        <v>537</v>
      </c>
      <c r="AY294" s="1" t="s">
        <v>221</v>
      </c>
      <c r="AZ294" s="1" t="s">
        <v>801</v>
      </c>
      <c r="BA294" s="1" t="s">
        <v>802</v>
      </c>
      <c r="BB294" s="1" t="s">
        <v>503</v>
      </c>
      <c r="BC294" s="1" t="s">
        <v>487</v>
      </c>
      <c r="BD294" s="1" t="s">
        <v>803</v>
      </c>
    </row>
    <row r="295" spans="1:56" ht="15.75" customHeight="1">
      <c r="A295" s="1">
        <f t="shared" si="2"/>
        <v>30059</v>
      </c>
      <c r="B295" s="1">
        <v>1</v>
      </c>
      <c r="C295" s="1">
        <v>3</v>
      </c>
      <c r="D295" s="1">
        <v>3</v>
      </c>
      <c r="E295" s="1">
        <v>3</v>
      </c>
      <c r="F295" s="1">
        <v>28</v>
      </c>
      <c r="G295" s="1">
        <v>62</v>
      </c>
      <c r="K295" s="1">
        <v>17</v>
      </c>
      <c r="AP295" s="1">
        <v>4</v>
      </c>
      <c r="AU295" s="1">
        <v>35</v>
      </c>
      <c r="AV295" s="1" t="s">
        <v>800</v>
      </c>
      <c r="AW295" s="1" t="s">
        <v>954</v>
      </c>
      <c r="AX295" s="1" t="s">
        <v>537</v>
      </c>
      <c r="AY295" s="1" t="s">
        <v>538</v>
      </c>
      <c r="AZ295" s="1" t="s">
        <v>801</v>
      </c>
      <c r="BA295" s="1" t="s">
        <v>802</v>
      </c>
      <c r="BB295" s="1" t="s">
        <v>503</v>
      </c>
      <c r="BC295" s="1" t="s">
        <v>487</v>
      </c>
      <c r="BD295" s="1" t="s">
        <v>803</v>
      </c>
    </row>
    <row r="296" spans="1:56" ht="15.75" customHeight="1">
      <c r="A296" s="1">
        <f t="shared" si="2"/>
        <v>30059</v>
      </c>
      <c r="B296" s="1">
        <v>1</v>
      </c>
      <c r="C296" s="1">
        <v>3</v>
      </c>
      <c r="D296" s="1">
        <v>3</v>
      </c>
      <c r="E296" s="1">
        <v>4</v>
      </c>
      <c r="F296" s="1">
        <v>28</v>
      </c>
      <c r="G296" s="1">
        <v>65</v>
      </c>
      <c r="K296" s="1">
        <v>17</v>
      </c>
      <c r="AP296" s="1">
        <v>5</v>
      </c>
      <c r="AU296" s="1">
        <v>40</v>
      </c>
      <c r="AV296" s="1" t="s">
        <v>800</v>
      </c>
      <c r="AW296" s="1" t="s">
        <v>957</v>
      </c>
      <c r="AX296" s="1" t="s">
        <v>537</v>
      </c>
      <c r="AY296" s="1" t="s">
        <v>538</v>
      </c>
      <c r="AZ296" s="1" t="s">
        <v>804</v>
      </c>
      <c r="BA296" s="1" t="s">
        <v>802</v>
      </c>
      <c r="BB296" s="1" t="s">
        <v>510</v>
      </c>
      <c r="BC296" s="1" t="s">
        <v>487</v>
      </c>
      <c r="BD296" s="1" t="s">
        <v>803</v>
      </c>
    </row>
    <row r="297" spans="1:56" ht="15.75" customHeight="1">
      <c r="A297" s="1">
        <f t="shared" si="2"/>
        <v>30060</v>
      </c>
      <c r="B297" s="1">
        <v>0</v>
      </c>
      <c r="C297" s="1">
        <v>3</v>
      </c>
      <c r="D297" s="1">
        <v>3</v>
      </c>
      <c r="E297" s="1">
        <v>0</v>
      </c>
      <c r="F297" s="1">
        <v>14</v>
      </c>
      <c r="G297" s="1">
        <v>52</v>
      </c>
      <c r="U297" s="1">
        <v>4</v>
      </c>
      <c r="X297" s="1">
        <v>5</v>
      </c>
      <c r="AU297" s="1">
        <v>30</v>
      </c>
      <c r="AV297" s="1" t="s">
        <v>805</v>
      </c>
      <c r="AW297" s="1" t="s">
        <v>946</v>
      </c>
      <c r="AX297" s="1" t="s">
        <v>679</v>
      </c>
      <c r="AY297" s="1" t="s">
        <v>806</v>
      </c>
      <c r="AZ297" s="1" t="s">
        <v>807</v>
      </c>
      <c r="BA297" s="1" t="s">
        <v>808</v>
      </c>
      <c r="BB297" s="1" t="s">
        <v>167</v>
      </c>
      <c r="BC297" s="1" t="s">
        <v>487</v>
      </c>
      <c r="BD297" s="1" t="s">
        <v>809</v>
      </c>
    </row>
    <row r="298" spans="1:56" ht="15.75" customHeight="1">
      <c r="A298" s="1">
        <f t="shared" si="2"/>
        <v>30060</v>
      </c>
      <c r="B298" s="1">
        <v>0</v>
      </c>
      <c r="C298" s="1">
        <v>3</v>
      </c>
      <c r="D298" s="1">
        <v>3</v>
      </c>
      <c r="E298" s="1">
        <v>1</v>
      </c>
      <c r="F298" s="1">
        <v>14</v>
      </c>
      <c r="G298" s="1">
        <v>55</v>
      </c>
      <c r="U298" s="1">
        <v>4</v>
      </c>
      <c r="X298" s="1">
        <v>5</v>
      </c>
      <c r="AU298" s="1">
        <v>35</v>
      </c>
      <c r="AV298" s="1" t="s">
        <v>805</v>
      </c>
      <c r="AW298" s="1" t="s">
        <v>949</v>
      </c>
      <c r="AX298" s="1" t="s">
        <v>679</v>
      </c>
      <c r="AY298" s="1" t="s">
        <v>806</v>
      </c>
      <c r="AZ298" s="1" t="s">
        <v>807</v>
      </c>
      <c r="BA298" s="1" t="s">
        <v>808</v>
      </c>
      <c r="BB298" s="1" t="s">
        <v>516</v>
      </c>
      <c r="BC298" s="1" t="s">
        <v>487</v>
      </c>
      <c r="BD298" s="1" t="s">
        <v>809</v>
      </c>
    </row>
    <row r="299" spans="1:56" ht="15.75" customHeight="1">
      <c r="A299" s="1">
        <f t="shared" si="2"/>
        <v>30060</v>
      </c>
      <c r="B299" s="1">
        <v>0</v>
      </c>
      <c r="C299" s="1">
        <v>3</v>
      </c>
      <c r="D299" s="1">
        <v>3</v>
      </c>
      <c r="E299" s="1">
        <v>2</v>
      </c>
      <c r="F299" s="1">
        <v>21</v>
      </c>
      <c r="G299" s="1">
        <v>59</v>
      </c>
      <c r="U299" s="1">
        <v>4</v>
      </c>
      <c r="X299" s="1">
        <v>5</v>
      </c>
      <c r="AU299" s="1">
        <v>35</v>
      </c>
      <c r="AV299" s="1" t="s">
        <v>805</v>
      </c>
      <c r="AW299" s="1" t="s">
        <v>952</v>
      </c>
      <c r="AX299" s="1" t="s">
        <v>161</v>
      </c>
      <c r="AY299" s="1" t="s">
        <v>806</v>
      </c>
      <c r="AZ299" s="1" t="s">
        <v>807</v>
      </c>
      <c r="BA299" s="1" t="s">
        <v>808</v>
      </c>
      <c r="BB299" s="1" t="s">
        <v>516</v>
      </c>
      <c r="BC299" s="1" t="s">
        <v>487</v>
      </c>
      <c r="BD299" s="1" t="s">
        <v>809</v>
      </c>
    </row>
    <row r="300" spans="1:56" ht="15.75" customHeight="1">
      <c r="A300" s="1">
        <f t="shared" si="2"/>
        <v>30060</v>
      </c>
      <c r="B300" s="1">
        <v>0</v>
      </c>
      <c r="C300" s="1">
        <v>3</v>
      </c>
      <c r="D300" s="1">
        <v>3</v>
      </c>
      <c r="E300" s="1">
        <v>3</v>
      </c>
      <c r="F300" s="1">
        <v>21</v>
      </c>
      <c r="G300" s="1">
        <v>62</v>
      </c>
      <c r="U300" s="1">
        <v>4</v>
      </c>
      <c r="X300" s="1">
        <v>7</v>
      </c>
      <c r="AU300" s="1">
        <v>35</v>
      </c>
      <c r="AV300" s="1" t="s">
        <v>805</v>
      </c>
      <c r="AW300" s="1" t="s">
        <v>955</v>
      </c>
      <c r="AX300" s="1" t="s">
        <v>161</v>
      </c>
      <c r="AY300" s="1" t="s">
        <v>806</v>
      </c>
      <c r="AZ300" s="1" t="s">
        <v>810</v>
      </c>
      <c r="BA300" s="1" t="s">
        <v>808</v>
      </c>
      <c r="BB300" s="1" t="s">
        <v>516</v>
      </c>
      <c r="BC300" s="1" t="s">
        <v>487</v>
      </c>
      <c r="BD300" s="1" t="s">
        <v>809</v>
      </c>
    </row>
    <row r="301" spans="1:56" ht="15.75" customHeight="1">
      <c r="A301" s="1">
        <f t="shared" si="2"/>
        <v>30060</v>
      </c>
      <c r="B301" s="1">
        <v>0</v>
      </c>
      <c r="C301" s="1">
        <v>3</v>
      </c>
      <c r="D301" s="1">
        <v>3</v>
      </c>
      <c r="E301" s="1">
        <v>4</v>
      </c>
      <c r="F301" s="1">
        <v>21</v>
      </c>
      <c r="G301" s="1">
        <v>65</v>
      </c>
      <c r="U301" s="1">
        <v>5</v>
      </c>
      <c r="X301" s="1">
        <v>7</v>
      </c>
      <c r="AU301" s="1">
        <v>40</v>
      </c>
      <c r="AV301" s="1" t="s">
        <v>805</v>
      </c>
      <c r="AW301" s="1" t="s">
        <v>958</v>
      </c>
      <c r="AX301" s="1" t="s">
        <v>161</v>
      </c>
      <c r="AY301" s="1" t="s">
        <v>811</v>
      </c>
      <c r="AZ301" s="1" t="s">
        <v>810</v>
      </c>
      <c r="BA301" s="1" t="s">
        <v>808</v>
      </c>
      <c r="BB301" s="1" t="s">
        <v>522</v>
      </c>
      <c r="BC301" s="1" t="s">
        <v>487</v>
      </c>
      <c r="BD301" s="1" t="s">
        <v>809</v>
      </c>
    </row>
    <row r="302" spans="1:56" ht="15.75" customHeight="1">
      <c r="A302" s="1">
        <f t="shared" si="2"/>
        <v>30061</v>
      </c>
      <c r="B302" s="1">
        <v>2</v>
      </c>
      <c r="C302" s="1">
        <v>2</v>
      </c>
      <c r="D302" s="1">
        <v>3</v>
      </c>
      <c r="E302" s="1">
        <v>0</v>
      </c>
      <c r="F302" s="1">
        <v>14</v>
      </c>
      <c r="G302" s="1">
        <v>52</v>
      </c>
      <c r="Y302" s="1">
        <v>5</v>
      </c>
      <c r="AB302" s="1">
        <v>1</v>
      </c>
      <c r="AU302" s="1">
        <v>30</v>
      </c>
      <c r="AV302" s="1" t="s">
        <v>812</v>
      </c>
      <c r="AW302" s="1" t="s">
        <v>944</v>
      </c>
      <c r="AX302" s="1" t="s">
        <v>675</v>
      </c>
      <c r="AY302" s="1" t="s">
        <v>813</v>
      </c>
      <c r="AZ302" s="1" t="s">
        <v>705</v>
      </c>
      <c r="BA302" s="1" t="s">
        <v>814</v>
      </c>
      <c r="BB302" s="1" t="s">
        <v>152</v>
      </c>
      <c r="BC302" s="1" t="s">
        <v>487</v>
      </c>
      <c r="BD302" s="1" t="s">
        <v>815</v>
      </c>
    </row>
    <row r="303" spans="1:56" ht="15.75" customHeight="1">
      <c r="A303" s="1">
        <f t="shared" si="2"/>
        <v>30061</v>
      </c>
      <c r="B303" s="1">
        <v>2</v>
      </c>
      <c r="C303" s="1">
        <v>2</v>
      </c>
      <c r="D303" s="1">
        <v>3</v>
      </c>
      <c r="E303" s="1">
        <v>1</v>
      </c>
      <c r="F303" s="1">
        <v>14</v>
      </c>
      <c r="G303" s="1">
        <v>55</v>
      </c>
      <c r="Y303" s="1">
        <v>5</v>
      </c>
      <c r="AB303" s="1">
        <v>1</v>
      </c>
      <c r="AU303" s="1">
        <v>35</v>
      </c>
      <c r="AV303" s="1" t="s">
        <v>812</v>
      </c>
      <c r="AW303" s="1" t="s">
        <v>947</v>
      </c>
      <c r="AX303" s="1" t="s">
        <v>675</v>
      </c>
      <c r="AY303" s="1" t="s">
        <v>813</v>
      </c>
      <c r="AZ303" s="1" t="s">
        <v>705</v>
      </c>
      <c r="BA303" s="1" t="s">
        <v>814</v>
      </c>
      <c r="BB303" s="1" t="s">
        <v>478</v>
      </c>
      <c r="BC303" s="1" t="s">
        <v>487</v>
      </c>
      <c r="BD303" s="1" t="s">
        <v>815</v>
      </c>
    </row>
    <row r="304" spans="1:56" ht="15.75" customHeight="1">
      <c r="A304" s="1">
        <f t="shared" si="2"/>
        <v>30061</v>
      </c>
      <c r="B304" s="1">
        <v>2</v>
      </c>
      <c r="C304" s="1">
        <v>2</v>
      </c>
      <c r="D304" s="1">
        <v>3</v>
      </c>
      <c r="E304" s="1">
        <v>2</v>
      </c>
      <c r="F304" s="1">
        <v>21</v>
      </c>
      <c r="G304" s="1">
        <v>59</v>
      </c>
      <c r="Y304" s="1">
        <v>5</v>
      </c>
      <c r="AB304" s="1">
        <v>1</v>
      </c>
      <c r="AU304" s="1">
        <v>35</v>
      </c>
      <c r="AV304" s="1" t="s">
        <v>812</v>
      </c>
      <c r="AW304" s="1" t="s">
        <v>950</v>
      </c>
      <c r="AX304" s="1" t="s">
        <v>146</v>
      </c>
      <c r="AY304" s="1" t="s">
        <v>813</v>
      </c>
      <c r="AZ304" s="1" t="s">
        <v>705</v>
      </c>
      <c r="BA304" s="1" t="s">
        <v>814</v>
      </c>
      <c r="BB304" s="1" t="s">
        <v>478</v>
      </c>
      <c r="BC304" s="1" t="s">
        <v>487</v>
      </c>
      <c r="BD304" s="1" t="s">
        <v>815</v>
      </c>
    </row>
    <row r="305" spans="1:56" ht="15.75" customHeight="1">
      <c r="A305" s="1">
        <f t="shared" si="2"/>
        <v>30061</v>
      </c>
      <c r="B305" s="1">
        <v>2</v>
      </c>
      <c r="C305" s="1">
        <v>2</v>
      </c>
      <c r="D305" s="1">
        <v>3</v>
      </c>
      <c r="E305" s="1">
        <v>3</v>
      </c>
      <c r="F305" s="1">
        <v>21</v>
      </c>
      <c r="G305" s="1">
        <v>62</v>
      </c>
      <c r="Y305" s="1">
        <v>7</v>
      </c>
      <c r="AB305" s="1">
        <v>1</v>
      </c>
      <c r="AU305" s="1">
        <v>35</v>
      </c>
      <c r="AV305" s="1" t="s">
        <v>812</v>
      </c>
      <c r="AW305" s="1" t="s">
        <v>953</v>
      </c>
      <c r="AX305" s="1" t="s">
        <v>146</v>
      </c>
      <c r="AY305" s="1" t="s">
        <v>813</v>
      </c>
      <c r="AZ305" s="1" t="s">
        <v>615</v>
      </c>
      <c r="BA305" s="1" t="s">
        <v>814</v>
      </c>
      <c r="BB305" s="1" t="s">
        <v>478</v>
      </c>
      <c r="BC305" s="1" t="s">
        <v>487</v>
      </c>
      <c r="BD305" s="1" t="s">
        <v>815</v>
      </c>
    </row>
    <row r="306" spans="1:56" ht="15.75" customHeight="1">
      <c r="A306" s="1">
        <f t="shared" si="2"/>
        <v>30061</v>
      </c>
      <c r="B306" s="1">
        <v>2</v>
      </c>
      <c r="C306" s="1">
        <v>2</v>
      </c>
      <c r="D306" s="1">
        <v>3</v>
      </c>
      <c r="E306" s="1">
        <v>4</v>
      </c>
      <c r="F306" s="1">
        <v>21</v>
      </c>
      <c r="G306" s="1">
        <v>65</v>
      </c>
      <c r="Y306" s="1">
        <v>7</v>
      </c>
      <c r="AB306" s="1">
        <v>2</v>
      </c>
      <c r="AU306" s="1">
        <v>40</v>
      </c>
      <c r="AV306" s="1" t="s">
        <v>812</v>
      </c>
      <c r="AW306" s="1" t="s">
        <v>956</v>
      </c>
      <c r="AX306" s="1" t="s">
        <v>146</v>
      </c>
      <c r="AY306" s="1" t="s">
        <v>529</v>
      </c>
      <c r="AZ306" s="1" t="s">
        <v>615</v>
      </c>
      <c r="BA306" s="1" t="s">
        <v>814</v>
      </c>
      <c r="BB306" s="1" t="s">
        <v>482</v>
      </c>
      <c r="BC306" s="1" t="s">
        <v>487</v>
      </c>
      <c r="BD306" s="1" t="s">
        <v>815</v>
      </c>
    </row>
    <row r="307" spans="1:56" ht="15.75" customHeight="1">
      <c r="A307" s="1">
        <f t="shared" si="2"/>
        <v>30062</v>
      </c>
      <c r="B307" s="1">
        <v>1</v>
      </c>
      <c r="C307" s="1">
        <v>1</v>
      </c>
      <c r="D307" s="1">
        <v>3</v>
      </c>
      <c r="E307" s="1">
        <v>0</v>
      </c>
      <c r="F307" s="1">
        <v>14</v>
      </c>
      <c r="G307" s="1">
        <v>52</v>
      </c>
      <c r="K307" s="1">
        <v>9</v>
      </c>
      <c r="AT307" s="1">
        <v>11</v>
      </c>
      <c r="AU307" s="1">
        <v>30</v>
      </c>
      <c r="AV307" s="1" t="s">
        <v>816</v>
      </c>
      <c r="AW307" s="1" t="s">
        <v>945</v>
      </c>
      <c r="AX307" s="1" t="s">
        <v>684</v>
      </c>
      <c r="AY307" s="1" t="s">
        <v>817</v>
      </c>
      <c r="AZ307" s="1" t="s">
        <v>1085</v>
      </c>
      <c r="BA307" s="1" t="s">
        <v>818</v>
      </c>
      <c r="BB307" s="1" t="s">
        <v>214</v>
      </c>
      <c r="BC307" s="1" t="s">
        <v>487</v>
      </c>
      <c r="BD307" s="1" t="s">
        <v>819</v>
      </c>
    </row>
    <row r="308" spans="1:56" ht="15.75" customHeight="1">
      <c r="A308" s="1">
        <f t="shared" si="2"/>
        <v>30062</v>
      </c>
      <c r="B308" s="1">
        <v>1</v>
      </c>
      <c r="C308" s="1">
        <v>1</v>
      </c>
      <c r="D308" s="1">
        <v>3</v>
      </c>
      <c r="E308" s="1">
        <v>1</v>
      </c>
      <c r="F308" s="1">
        <v>14</v>
      </c>
      <c r="G308" s="1">
        <v>55</v>
      </c>
      <c r="K308" s="1">
        <v>9</v>
      </c>
      <c r="AT308" s="1">
        <v>11</v>
      </c>
      <c r="AU308" s="1">
        <v>35</v>
      </c>
      <c r="AV308" s="1" t="s">
        <v>816</v>
      </c>
      <c r="AW308" s="1" t="s">
        <v>948</v>
      </c>
      <c r="AX308" s="1" t="s">
        <v>684</v>
      </c>
      <c r="AY308" s="1" t="s">
        <v>817</v>
      </c>
      <c r="AZ308" s="1" t="s">
        <v>1085</v>
      </c>
      <c r="BA308" s="1" t="s">
        <v>818</v>
      </c>
      <c r="BB308" s="1" t="s">
        <v>503</v>
      </c>
      <c r="BC308" s="1" t="s">
        <v>487</v>
      </c>
      <c r="BD308" s="1" t="s">
        <v>819</v>
      </c>
    </row>
    <row r="309" spans="1:56" ht="15.75" customHeight="1">
      <c r="A309" s="1">
        <f t="shared" si="2"/>
        <v>30062</v>
      </c>
      <c r="B309" s="1">
        <v>1</v>
      </c>
      <c r="C309" s="1">
        <v>1</v>
      </c>
      <c r="D309" s="1">
        <v>3</v>
      </c>
      <c r="E309" s="1">
        <v>2</v>
      </c>
      <c r="F309" s="1">
        <v>21</v>
      </c>
      <c r="G309" s="1">
        <v>59</v>
      </c>
      <c r="K309" s="1">
        <v>9</v>
      </c>
      <c r="AT309" s="1">
        <v>11</v>
      </c>
      <c r="AU309" s="1">
        <v>35</v>
      </c>
      <c r="AV309" s="1" t="s">
        <v>816</v>
      </c>
      <c r="AW309" s="1" t="s">
        <v>951</v>
      </c>
      <c r="AX309" s="1" t="s">
        <v>220</v>
      </c>
      <c r="AY309" s="1" t="s">
        <v>817</v>
      </c>
      <c r="AZ309" s="1" t="s">
        <v>1085</v>
      </c>
      <c r="BA309" s="1" t="s">
        <v>818</v>
      </c>
      <c r="BB309" s="1" t="s">
        <v>503</v>
      </c>
      <c r="BC309" s="1" t="s">
        <v>487</v>
      </c>
      <c r="BD309" s="1" t="s">
        <v>819</v>
      </c>
    </row>
    <row r="310" spans="1:56" ht="15.75" customHeight="1">
      <c r="A310" s="1">
        <f t="shared" si="2"/>
        <v>30062</v>
      </c>
      <c r="B310" s="1">
        <v>1</v>
      </c>
      <c r="C310" s="1">
        <v>1</v>
      </c>
      <c r="D310" s="1">
        <v>3</v>
      </c>
      <c r="E310" s="1">
        <v>3</v>
      </c>
      <c r="F310" s="1">
        <v>21</v>
      </c>
      <c r="G310" s="1">
        <v>62</v>
      </c>
      <c r="K310" s="1">
        <v>9</v>
      </c>
      <c r="AT310" s="1">
        <v>17</v>
      </c>
      <c r="AU310" s="1">
        <v>35</v>
      </c>
      <c r="AV310" s="1" t="s">
        <v>816</v>
      </c>
      <c r="AW310" s="1" t="s">
        <v>954</v>
      </c>
      <c r="AX310" s="1" t="s">
        <v>220</v>
      </c>
      <c r="AY310" s="1" t="s">
        <v>817</v>
      </c>
      <c r="AZ310" s="1" t="s">
        <v>1086</v>
      </c>
      <c r="BA310" s="1" t="s">
        <v>818</v>
      </c>
      <c r="BB310" s="1" t="s">
        <v>503</v>
      </c>
      <c r="BC310" s="1" t="s">
        <v>487</v>
      </c>
      <c r="BD310" s="1" t="s">
        <v>819</v>
      </c>
    </row>
    <row r="311" spans="1:56" ht="15.75" customHeight="1">
      <c r="A311" s="1">
        <f t="shared" si="2"/>
        <v>30062</v>
      </c>
      <c r="B311" s="1">
        <v>1</v>
      </c>
      <c r="C311" s="1">
        <v>1</v>
      </c>
      <c r="D311" s="1">
        <v>3</v>
      </c>
      <c r="E311" s="1">
        <v>4</v>
      </c>
      <c r="F311" s="1">
        <v>21</v>
      </c>
      <c r="G311" s="1">
        <v>65</v>
      </c>
      <c r="K311" s="1">
        <v>13</v>
      </c>
      <c r="AT311" s="1">
        <v>17</v>
      </c>
      <c r="AU311" s="1">
        <v>40</v>
      </c>
      <c r="AV311" s="1" t="s">
        <v>816</v>
      </c>
      <c r="AW311" s="1" t="s">
        <v>957</v>
      </c>
      <c r="AX311" s="1" t="s">
        <v>220</v>
      </c>
      <c r="AY311" s="1" t="s">
        <v>820</v>
      </c>
      <c r="AZ311" s="1" t="s">
        <v>1086</v>
      </c>
      <c r="BA311" s="1" t="s">
        <v>818</v>
      </c>
      <c r="BB311" s="1" t="s">
        <v>510</v>
      </c>
      <c r="BC311" s="1" t="s">
        <v>487</v>
      </c>
      <c r="BD311" s="1" t="s">
        <v>819</v>
      </c>
    </row>
    <row r="312" spans="1:56" ht="15.75" customHeight="1">
      <c r="A312" s="1">
        <f t="shared" si="2"/>
        <v>30063</v>
      </c>
      <c r="B312" s="1">
        <v>2</v>
      </c>
      <c r="C312" s="1">
        <v>2</v>
      </c>
      <c r="D312" s="1">
        <v>3</v>
      </c>
      <c r="E312" s="1">
        <v>0</v>
      </c>
      <c r="I312" s="1">
        <v>6.5000000000000002E-2</v>
      </c>
      <c r="O312" s="1">
        <v>12</v>
      </c>
      <c r="P312" s="1"/>
      <c r="AF312" s="1">
        <v>3</v>
      </c>
      <c r="AS312" s="1">
        <v>8</v>
      </c>
      <c r="AU312" s="1">
        <v>30</v>
      </c>
      <c r="AV312" s="1" t="s">
        <v>821</v>
      </c>
      <c r="AW312" s="1" t="s">
        <v>484</v>
      </c>
      <c r="AX312" s="1" t="s">
        <v>822</v>
      </c>
      <c r="AY312" s="1" t="s">
        <v>432</v>
      </c>
      <c r="AZ312" s="1" t="s">
        <v>823</v>
      </c>
      <c r="BA312" s="1" t="s">
        <v>824</v>
      </c>
      <c r="BB312" s="1" t="s">
        <v>152</v>
      </c>
      <c r="BC312" s="1" t="s">
        <v>487</v>
      </c>
      <c r="BD312" s="1" t="s">
        <v>825</v>
      </c>
    </row>
    <row r="313" spans="1:56" ht="15.75" customHeight="1">
      <c r="A313" s="1">
        <f t="shared" si="2"/>
        <v>30063</v>
      </c>
      <c r="B313" s="1">
        <v>2</v>
      </c>
      <c r="C313" s="1">
        <v>2</v>
      </c>
      <c r="D313" s="1">
        <v>3</v>
      </c>
      <c r="E313" s="1">
        <v>1</v>
      </c>
      <c r="I313" s="1">
        <v>7.0000000000000007E-2</v>
      </c>
      <c r="O313" s="1">
        <v>12</v>
      </c>
      <c r="P313" s="1"/>
      <c r="AF313" s="1">
        <v>3</v>
      </c>
      <c r="AS313" s="1">
        <v>8</v>
      </c>
      <c r="AU313" s="1">
        <v>35</v>
      </c>
      <c r="AV313" s="1" t="s">
        <v>821</v>
      </c>
      <c r="AW313" s="1" t="s">
        <v>489</v>
      </c>
      <c r="AX313" s="1" t="s">
        <v>822</v>
      </c>
      <c r="AY313" s="1" t="s">
        <v>432</v>
      </c>
      <c r="AZ313" s="1" t="s">
        <v>823</v>
      </c>
      <c r="BA313" s="1" t="s">
        <v>824</v>
      </c>
      <c r="BB313" s="1" t="s">
        <v>478</v>
      </c>
      <c r="BC313" s="1" t="s">
        <v>487</v>
      </c>
      <c r="BD313" s="1" t="s">
        <v>825</v>
      </c>
    </row>
    <row r="314" spans="1:56" ht="15.75" customHeight="1">
      <c r="A314" s="1">
        <f t="shared" si="2"/>
        <v>30063</v>
      </c>
      <c r="B314" s="1">
        <v>2</v>
      </c>
      <c r="C314" s="1">
        <v>2</v>
      </c>
      <c r="D314" s="1">
        <v>3</v>
      </c>
      <c r="E314" s="1">
        <v>2</v>
      </c>
      <c r="I314" s="1">
        <v>7.4999999999999997E-2</v>
      </c>
      <c r="O314" s="1">
        <v>12</v>
      </c>
      <c r="P314" s="1"/>
      <c r="AF314" s="1">
        <v>4</v>
      </c>
      <c r="AS314" s="1">
        <v>8</v>
      </c>
      <c r="AU314" s="1">
        <v>35</v>
      </c>
      <c r="AV314" s="1" t="s">
        <v>821</v>
      </c>
      <c r="AW314" s="1" t="s">
        <v>490</v>
      </c>
      <c r="AX314" s="1" t="s">
        <v>826</v>
      </c>
      <c r="AY314" s="1" t="s">
        <v>432</v>
      </c>
      <c r="AZ314" s="1" t="s">
        <v>823</v>
      </c>
      <c r="BA314" s="1" t="s">
        <v>824</v>
      </c>
      <c r="BB314" s="1" t="s">
        <v>478</v>
      </c>
      <c r="BC314" s="1" t="s">
        <v>487</v>
      </c>
      <c r="BD314" s="1" t="s">
        <v>825</v>
      </c>
    </row>
    <row r="315" spans="1:56" ht="15.75" customHeight="1">
      <c r="A315" s="1">
        <f t="shared" si="2"/>
        <v>30063</v>
      </c>
      <c r="B315" s="1">
        <v>2</v>
      </c>
      <c r="C315" s="1">
        <v>2</v>
      </c>
      <c r="D315" s="1">
        <v>3</v>
      </c>
      <c r="E315" s="1">
        <v>3</v>
      </c>
      <c r="I315" s="1">
        <v>0.08</v>
      </c>
      <c r="O315" s="1">
        <v>12</v>
      </c>
      <c r="P315" s="1"/>
      <c r="AF315" s="1">
        <v>4</v>
      </c>
      <c r="AS315" s="1">
        <v>11</v>
      </c>
      <c r="AU315" s="1">
        <v>35</v>
      </c>
      <c r="AV315" s="1" t="s">
        <v>821</v>
      </c>
      <c r="AW315" s="1" t="s">
        <v>492</v>
      </c>
      <c r="AX315" s="1" t="s">
        <v>826</v>
      </c>
      <c r="AY315" s="1" t="s">
        <v>827</v>
      </c>
      <c r="AZ315" s="1" t="s">
        <v>823</v>
      </c>
      <c r="BA315" s="1" t="s">
        <v>824</v>
      </c>
      <c r="BB315" s="1" t="s">
        <v>478</v>
      </c>
      <c r="BC315" s="1" t="s">
        <v>487</v>
      </c>
      <c r="BD315" s="1" t="s">
        <v>825</v>
      </c>
    </row>
    <row r="316" spans="1:56" ht="15.75" customHeight="1">
      <c r="A316" s="1">
        <f t="shared" si="2"/>
        <v>30063</v>
      </c>
      <c r="B316" s="1">
        <v>2</v>
      </c>
      <c r="C316" s="1">
        <v>2</v>
      </c>
      <c r="D316" s="1">
        <v>3</v>
      </c>
      <c r="E316" s="1">
        <v>4</v>
      </c>
      <c r="I316" s="1">
        <v>8.5000000000000006E-2</v>
      </c>
      <c r="O316" s="1">
        <v>17</v>
      </c>
      <c r="P316" s="1"/>
      <c r="AF316" s="1">
        <v>4</v>
      </c>
      <c r="AS316" s="1">
        <v>11</v>
      </c>
      <c r="AU316" s="1">
        <v>40</v>
      </c>
      <c r="AV316" s="1" t="s">
        <v>821</v>
      </c>
      <c r="AW316" s="1" t="s">
        <v>494</v>
      </c>
      <c r="AX316" s="1" t="s">
        <v>826</v>
      </c>
      <c r="AY316" s="1" t="s">
        <v>827</v>
      </c>
      <c r="AZ316" s="1" t="s">
        <v>828</v>
      </c>
      <c r="BA316" s="1" t="s">
        <v>824</v>
      </c>
      <c r="BB316" s="1" t="s">
        <v>482</v>
      </c>
      <c r="BC316" s="1" t="s">
        <v>487</v>
      </c>
      <c r="BD316" s="1" t="s">
        <v>825</v>
      </c>
    </row>
    <row r="317" spans="1:56" ht="15.75" customHeight="1">
      <c r="A317" s="1">
        <v>30064</v>
      </c>
      <c r="B317" s="1">
        <v>2</v>
      </c>
      <c r="C317" s="1">
        <v>1</v>
      </c>
      <c r="D317" s="1">
        <v>3</v>
      </c>
      <c r="E317" s="1">
        <v>0</v>
      </c>
      <c r="I317" s="1">
        <v>6.5000000000000002E-2</v>
      </c>
      <c r="K317" s="1">
        <v>13</v>
      </c>
      <c r="AL317" s="1">
        <v>8</v>
      </c>
      <c r="AP317" s="1">
        <v>4</v>
      </c>
      <c r="AU317" s="1">
        <v>30</v>
      </c>
      <c r="AV317" s="1" t="s">
        <v>829</v>
      </c>
      <c r="AW317" s="1" t="s">
        <v>484</v>
      </c>
      <c r="AX317" s="1" t="s">
        <v>379</v>
      </c>
      <c r="AY317" s="1" t="s">
        <v>151</v>
      </c>
      <c r="AZ317" s="1" t="s">
        <v>830</v>
      </c>
      <c r="BA317" s="1" t="s">
        <v>831</v>
      </c>
      <c r="BB317" s="1" t="s">
        <v>152</v>
      </c>
      <c r="BC317" s="1" t="s">
        <v>487</v>
      </c>
      <c r="BD317" s="1" t="s">
        <v>832</v>
      </c>
    </row>
    <row r="318" spans="1:56" ht="15.75" customHeight="1">
      <c r="A318" s="1">
        <v>30064</v>
      </c>
      <c r="B318" s="1">
        <v>2</v>
      </c>
      <c r="C318" s="1">
        <v>1</v>
      </c>
      <c r="D318" s="1">
        <v>3</v>
      </c>
      <c r="E318" s="1">
        <v>1</v>
      </c>
      <c r="I318" s="1">
        <v>7.0000000000000007E-2</v>
      </c>
      <c r="K318" s="1">
        <v>13</v>
      </c>
      <c r="AL318" s="1">
        <v>8</v>
      </c>
      <c r="AP318" s="1">
        <v>4</v>
      </c>
      <c r="AU318" s="1">
        <v>35</v>
      </c>
      <c r="AV318" s="1" t="s">
        <v>829</v>
      </c>
      <c r="AW318" s="1" t="s">
        <v>489</v>
      </c>
      <c r="AX318" s="1" t="s">
        <v>379</v>
      </c>
      <c r="AY318" s="1" t="s">
        <v>151</v>
      </c>
      <c r="AZ318" s="1" t="s">
        <v>830</v>
      </c>
      <c r="BA318" s="1" t="s">
        <v>831</v>
      </c>
      <c r="BB318" s="1" t="s">
        <v>478</v>
      </c>
      <c r="BC318" s="1" t="s">
        <v>487</v>
      </c>
      <c r="BD318" s="1" t="s">
        <v>832</v>
      </c>
    </row>
    <row r="319" spans="1:56" ht="15.75" customHeight="1">
      <c r="A319" s="1">
        <v>30064</v>
      </c>
      <c r="B319" s="1">
        <v>2</v>
      </c>
      <c r="C319" s="1">
        <v>1</v>
      </c>
      <c r="D319" s="1">
        <v>3</v>
      </c>
      <c r="E319" s="1">
        <v>2</v>
      </c>
      <c r="I319" s="1">
        <v>7.4999999999999997E-2</v>
      </c>
      <c r="K319" s="1">
        <v>13</v>
      </c>
      <c r="AL319" s="1">
        <v>11</v>
      </c>
      <c r="AP319" s="1">
        <v>4</v>
      </c>
      <c r="AU319" s="1">
        <v>35</v>
      </c>
      <c r="AV319" s="1" t="s">
        <v>829</v>
      </c>
      <c r="AW319" s="1" t="s">
        <v>490</v>
      </c>
      <c r="AX319" s="1" t="s">
        <v>747</v>
      </c>
      <c r="AY319" s="1" t="s">
        <v>151</v>
      </c>
      <c r="AZ319" s="1" t="s">
        <v>830</v>
      </c>
      <c r="BA319" s="1" t="s">
        <v>831</v>
      </c>
      <c r="BB319" s="1" t="s">
        <v>478</v>
      </c>
      <c r="BC319" s="1" t="s">
        <v>487</v>
      </c>
      <c r="BD319" s="1" t="s">
        <v>832</v>
      </c>
    </row>
    <row r="320" spans="1:56" ht="15.75" customHeight="1">
      <c r="A320" s="1">
        <v>30064</v>
      </c>
      <c r="B320" s="1">
        <v>2</v>
      </c>
      <c r="C320" s="1">
        <v>1</v>
      </c>
      <c r="D320" s="1">
        <v>3</v>
      </c>
      <c r="E320" s="1">
        <v>3</v>
      </c>
      <c r="I320" s="1">
        <v>0.08</v>
      </c>
      <c r="K320" s="1">
        <v>17</v>
      </c>
      <c r="AL320" s="1">
        <v>11</v>
      </c>
      <c r="AP320" s="1">
        <v>4</v>
      </c>
      <c r="AU320" s="1">
        <v>35</v>
      </c>
      <c r="AV320" s="1" t="s">
        <v>829</v>
      </c>
      <c r="AW320" s="1" t="s">
        <v>492</v>
      </c>
      <c r="AX320" s="1" t="s">
        <v>747</v>
      </c>
      <c r="AY320" s="1" t="s">
        <v>493</v>
      </c>
      <c r="AZ320" s="1" t="s">
        <v>830</v>
      </c>
      <c r="BA320" s="1" t="s">
        <v>831</v>
      </c>
      <c r="BB320" s="1" t="s">
        <v>478</v>
      </c>
      <c r="BC320" s="1" t="s">
        <v>487</v>
      </c>
      <c r="BD320" s="1" t="s">
        <v>832</v>
      </c>
    </row>
    <row r="321" spans="1:56" ht="15.75" customHeight="1">
      <c r="A321" s="1">
        <v>30064</v>
      </c>
      <c r="B321" s="1">
        <v>2</v>
      </c>
      <c r="C321" s="1">
        <v>1</v>
      </c>
      <c r="D321" s="1">
        <v>3</v>
      </c>
      <c r="E321" s="1">
        <v>4</v>
      </c>
      <c r="I321" s="1">
        <v>8.5000000000000006E-2</v>
      </c>
      <c r="K321" s="1">
        <v>17</v>
      </c>
      <c r="AL321" s="1">
        <v>11</v>
      </c>
      <c r="AP321" s="1">
        <v>5</v>
      </c>
      <c r="AU321" s="1">
        <v>40</v>
      </c>
      <c r="AV321" s="1" t="s">
        <v>829</v>
      </c>
      <c r="AW321" s="1" t="s">
        <v>494</v>
      </c>
      <c r="AX321" s="1" t="s">
        <v>747</v>
      </c>
      <c r="AY321" s="1" t="s">
        <v>493</v>
      </c>
      <c r="AZ321" s="1" t="s">
        <v>833</v>
      </c>
      <c r="BA321" s="1" t="s">
        <v>831</v>
      </c>
      <c r="BB321" s="1" t="s">
        <v>482</v>
      </c>
      <c r="BC321" s="1" t="s">
        <v>487</v>
      </c>
      <c r="BD321" s="1" t="s">
        <v>832</v>
      </c>
    </row>
    <row r="322" spans="1:56" ht="15.75" customHeight="1">
      <c r="A322" s="1">
        <v>30065</v>
      </c>
      <c r="B322" s="1">
        <v>0</v>
      </c>
      <c r="C322" s="1">
        <v>2</v>
      </c>
      <c r="D322" s="1">
        <v>3</v>
      </c>
      <c r="E322" s="1">
        <v>0</v>
      </c>
      <c r="F322" s="1">
        <v>21</v>
      </c>
      <c r="G322" s="1">
        <v>52</v>
      </c>
      <c r="O322" s="1">
        <v>12</v>
      </c>
      <c r="P322" s="1"/>
      <c r="AK322" s="1">
        <v>3</v>
      </c>
      <c r="AU322" s="1">
        <v>30</v>
      </c>
      <c r="AV322" s="1" t="s">
        <v>834</v>
      </c>
      <c r="AW322" s="1" t="s">
        <v>946</v>
      </c>
      <c r="AX322" s="1" t="s">
        <v>161</v>
      </c>
      <c r="AY322" s="1" t="s">
        <v>835</v>
      </c>
      <c r="AZ322" s="1" t="s">
        <v>636</v>
      </c>
      <c r="BA322" s="1" t="s">
        <v>836</v>
      </c>
      <c r="BB322" s="1" t="s">
        <v>167</v>
      </c>
      <c r="BC322" s="1" t="s">
        <v>487</v>
      </c>
      <c r="BD322" s="1" t="s">
        <v>837</v>
      </c>
    </row>
    <row r="323" spans="1:56" ht="15.75" customHeight="1">
      <c r="A323" s="1">
        <v>30065</v>
      </c>
      <c r="B323" s="1">
        <v>0</v>
      </c>
      <c r="C323" s="1">
        <v>2</v>
      </c>
      <c r="D323" s="1">
        <v>3</v>
      </c>
      <c r="E323" s="1">
        <v>1</v>
      </c>
      <c r="F323" s="1">
        <v>21</v>
      </c>
      <c r="G323" s="1">
        <v>55</v>
      </c>
      <c r="O323" s="1">
        <v>12</v>
      </c>
      <c r="P323" s="1"/>
      <c r="AK323" s="1">
        <v>3</v>
      </c>
      <c r="AU323" s="1">
        <v>35</v>
      </c>
      <c r="AV323" s="1" t="s">
        <v>834</v>
      </c>
      <c r="AW323" s="1" t="s">
        <v>949</v>
      </c>
      <c r="AX323" s="1" t="s">
        <v>161</v>
      </c>
      <c r="AY323" s="1" t="s">
        <v>835</v>
      </c>
      <c r="AZ323" s="1" t="s">
        <v>636</v>
      </c>
      <c r="BA323" s="1" t="s">
        <v>836</v>
      </c>
      <c r="BB323" s="1" t="s">
        <v>516</v>
      </c>
      <c r="BC323" s="1" t="s">
        <v>487</v>
      </c>
      <c r="BD323" s="1" t="s">
        <v>837</v>
      </c>
    </row>
    <row r="324" spans="1:56" ht="15.75" customHeight="1">
      <c r="A324" s="1">
        <v>30065</v>
      </c>
      <c r="B324" s="1">
        <v>0</v>
      </c>
      <c r="C324" s="1">
        <v>2</v>
      </c>
      <c r="D324" s="1">
        <v>3</v>
      </c>
      <c r="E324" s="1">
        <v>2</v>
      </c>
      <c r="F324" s="1">
        <v>28</v>
      </c>
      <c r="G324" s="1">
        <v>59</v>
      </c>
      <c r="O324" s="1">
        <v>12</v>
      </c>
      <c r="P324" s="1"/>
      <c r="AK324" s="1">
        <v>3</v>
      </c>
      <c r="AU324" s="1">
        <v>35</v>
      </c>
      <c r="AV324" s="1" t="s">
        <v>834</v>
      </c>
      <c r="AW324" s="1" t="s">
        <v>952</v>
      </c>
      <c r="AX324" s="1" t="s">
        <v>544</v>
      </c>
      <c r="AY324" s="1" t="s">
        <v>835</v>
      </c>
      <c r="AZ324" s="1" t="s">
        <v>636</v>
      </c>
      <c r="BA324" s="1" t="s">
        <v>836</v>
      </c>
      <c r="BB324" s="1" t="s">
        <v>516</v>
      </c>
      <c r="BC324" s="1" t="s">
        <v>487</v>
      </c>
      <c r="BD324" s="1" t="s">
        <v>837</v>
      </c>
    </row>
    <row r="325" spans="1:56" ht="15.75" customHeight="1">
      <c r="A325" s="1">
        <v>30065</v>
      </c>
      <c r="B325" s="1">
        <v>0</v>
      </c>
      <c r="C325" s="1">
        <v>2</v>
      </c>
      <c r="D325" s="1">
        <v>3</v>
      </c>
      <c r="E325" s="1">
        <v>3</v>
      </c>
      <c r="F325" s="1">
        <v>28</v>
      </c>
      <c r="G325" s="1">
        <v>62</v>
      </c>
      <c r="O325" s="1">
        <v>12</v>
      </c>
      <c r="P325" s="1"/>
      <c r="AK325" s="1">
        <v>4</v>
      </c>
      <c r="AU325" s="1">
        <v>35</v>
      </c>
      <c r="AV325" s="1" t="s">
        <v>834</v>
      </c>
      <c r="AW325" s="1" t="s">
        <v>955</v>
      </c>
      <c r="AX325" s="1" t="s">
        <v>544</v>
      </c>
      <c r="AY325" s="1" t="s">
        <v>838</v>
      </c>
      <c r="AZ325" s="1" t="s">
        <v>636</v>
      </c>
      <c r="BA325" s="1" t="s">
        <v>836</v>
      </c>
      <c r="BB325" s="1" t="s">
        <v>516</v>
      </c>
      <c r="BC325" s="1" t="s">
        <v>487</v>
      </c>
      <c r="BD325" s="1" t="s">
        <v>837</v>
      </c>
    </row>
    <row r="326" spans="1:56" ht="15.75" customHeight="1">
      <c r="A326" s="1">
        <v>30065</v>
      </c>
      <c r="B326" s="1">
        <v>0</v>
      </c>
      <c r="C326" s="1">
        <v>2</v>
      </c>
      <c r="D326" s="1">
        <v>3</v>
      </c>
      <c r="E326" s="1">
        <v>4</v>
      </c>
      <c r="F326" s="1">
        <v>28</v>
      </c>
      <c r="G326" s="1">
        <v>65</v>
      </c>
      <c r="O326" s="1">
        <v>17</v>
      </c>
      <c r="P326" s="1"/>
      <c r="AK326" s="1">
        <v>4</v>
      </c>
      <c r="AU326" s="1">
        <v>40</v>
      </c>
      <c r="AV326" s="1" t="s">
        <v>834</v>
      </c>
      <c r="AW326" s="1" t="s">
        <v>958</v>
      </c>
      <c r="AX326" s="1" t="s">
        <v>544</v>
      </c>
      <c r="AY326" s="1" t="s">
        <v>838</v>
      </c>
      <c r="AZ326" s="1" t="s">
        <v>639</v>
      </c>
      <c r="BA326" s="1" t="s">
        <v>836</v>
      </c>
      <c r="BB326" s="1" t="s">
        <v>522</v>
      </c>
      <c r="BC326" s="1" t="s">
        <v>487</v>
      </c>
      <c r="BD326" s="1" t="s">
        <v>837</v>
      </c>
    </row>
    <row r="327" spans="1:56" ht="15.75" customHeight="1">
      <c r="A327" s="1">
        <v>30066</v>
      </c>
      <c r="B327" s="1">
        <v>1</v>
      </c>
      <c r="C327" s="1">
        <v>0</v>
      </c>
      <c r="D327" s="1">
        <v>3</v>
      </c>
      <c r="E327" s="1">
        <v>0</v>
      </c>
      <c r="I327" s="1">
        <v>6.5000000000000002E-2</v>
      </c>
      <c r="K327" s="1">
        <v>9</v>
      </c>
      <c r="S327" s="1">
        <v>9</v>
      </c>
      <c r="T327" s="1"/>
      <c r="AU327" s="1">
        <v>30</v>
      </c>
      <c r="AV327" s="1" t="s">
        <v>839</v>
      </c>
      <c r="AW327" s="1" t="s">
        <v>497</v>
      </c>
      <c r="AX327" s="1" t="s">
        <v>840</v>
      </c>
      <c r="AY327" s="1" t="s">
        <v>817</v>
      </c>
      <c r="AZ327" s="1" t="s">
        <v>960</v>
      </c>
      <c r="BA327" s="1" t="s">
        <v>841</v>
      </c>
      <c r="BB327" s="1" t="s">
        <v>214</v>
      </c>
      <c r="BC327" s="1" t="s">
        <v>476</v>
      </c>
      <c r="BD327" s="1" t="s">
        <v>842</v>
      </c>
    </row>
    <row r="328" spans="1:56" ht="15.75" customHeight="1">
      <c r="A328" s="1">
        <v>30066</v>
      </c>
      <c r="B328" s="1">
        <v>1</v>
      </c>
      <c r="C328" s="1">
        <v>0</v>
      </c>
      <c r="D328" s="1">
        <v>3</v>
      </c>
      <c r="E328" s="1">
        <v>1</v>
      </c>
      <c r="I328" s="1">
        <v>7.0000000000000007E-2</v>
      </c>
      <c r="K328" s="1">
        <v>9</v>
      </c>
      <c r="S328" s="1">
        <v>9</v>
      </c>
      <c r="T328" s="1"/>
      <c r="AU328" s="1">
        <v>35</v>
      </c>
      <c r="AV328" s="1" t="s">
        <v>839</v>
      </c>
      <c r="AW328" s="1" t="s">
        <v>502</v>
      </c>
      <c r="AX328" s="1" t="s">
        <v>840</v>
      </c>
      <c r="AY328" s="1" t="s">
        <v>817</v>
      </c>
      <c r="AZ328" s="1" t="s">
        <v>960</v>
      </c>
      <c r="BA328" s="1" t="s">
        <v>841</v>
      </c>
      <c r="BB328" s="1" t="s">
        <v>503</v>
      </c>
      <c r="BC328" s="1" t="s">
        <v>476</v>
      </c>
      <c r="BD328" s="1" t="s">
        <v>842</v>
      </c>
    </row>
    <row r="329" spans="1:56" ht="15.75" customHeight="1">
      <c r="A329" s="1">
        <v>30066</v>
      </c>
      <c r="B329" s="1">
        <v>1</v>
      </c>
      <c r="C329" s="1">
        <v>0</v>
      </c>
      <c r="D329" s="1">
        <v>3</v>
      </c>
      <c r="E329" s="1">
        <v>2</v>
      </c>
      <c r="I329" s="1">
        <v>7.4999999999999997E-2</v>
      </c>
      <c r="K329" s="1">
        <v>9</v>
      </c>
      <c r="S329" s="1">
        <v>9</v>
      </c>
      <c r="T329" s="1"/>
      <c r="AU329" s="1">
        <v>35</v>
      </c>
      <c r="AV329" s="1" t="s">
        <v>839</v>
      </c>
      <c r="AW329" s="1" t="s">
        <v>504</v>
      </c>
      <c r="AX329" s="1" t="s">
        <v>232</v>
      </c>
      <c r="AY329" s="1" t="s">
        <v>817</v>
      </c>
      <c r="AZ329" s="1" t="s">
        <v>960</v>
      </c>
      <c r="BA329" s="1" t="s">
        <v>841</v>
      </c>
      <c r="BB329" s="1" t="s">
        <v>503</v>
      </c>
      <c r="BC329" s="1" t="s">
        <v>476</v>
      </c>
      <c r="BD329" s="1" t="s">
        <v>842</v>
      </c>
    </row>
    <row r="330" spans="1:56" ht="15.75" customHeight="1">
      <c r="A330" s="1">
        <v>30066</v>
      </c>
      <c r="B330" s="1">
        <v>1</v>
      </c>
      <c r="C330" s="1">
        <v>0</v>
      </c>
      <c r="D330" s="1">
        <v>3</v>
      </c>
      <c r="E330" s="1">
        <v>3</v>
      </c>
      <c r="I330" s="1">
        <v>0.08</v>
      </c>
      <c r="K330" s="1">
        <v>9</v>
      </c>
      <c r="S330" s="1">
        <v>14</v>
      </c>
      <c r="T330" s="1"/>
      <c r="AU330" s="1">
        <v>35</v>
      </c>
      <c r="AV330" s="1" t="s">
        <v>839</v>
      </c>
      <c r="AW330" s="1" t="s">
        <v>506</v>
      </c>
      <c r="AX330" s="1" t="s">
        <v>232</v>
      </c>
      <c r="AY330" s="1" t="s">
        <v>817</v>
      </c>
      <c r="AZ330" s="1" t="s">
        <v>935</v>
      </c>
      <c r="BA330" s="1" t="s">
        <v>841</v>
      </c>
      <c r="BB330" s="1" t="s">
        <v>503</v>
      </c>
      <c r="BC330" s="1" t="s">
        <v>476</v>
      </c>
      <c r="BD330" s="1" t="s">
        <v>842</v>
      </c>
    </row>
    <row r="331" spans="1:56" ht="15.75" customHeight="1">
      <c r="A331" s="1">
        <v>30066</v>
      </c>
      <c r="B331" s="1">
        <v>1</v>
      </c>
      <c r="C331" s="1">
        <v>0</v>
      </c>
      <c r="D331" s="1">
        <v>3</v>
      </c>
      <c r="E331" s="1">
        <v>4</v>
      </c>
      <c r="I331" s="1">
        <v>8.5000000000000006E-2</v>
      </c>
      <c r="K331" s="1">
        <v>13</v>
      </c>
      <c r="S331" s="1">
        <v>14</v>
      </c>
      <c r="T331" s="1"/>
      <c r="AU331" s="1">
        <v>40</v>
      </c>
      <c r="AV331" s="1" t="s">
        <v>839</v>
      </c>
      <c r="AW331" s="1" t="s">
        <v>508</v>
      </c>
      <c r="AX331" s="1" t="s">
        <v>232</v>
      </c>
      <c r="AY331" s="1" t="s">
        <v>820</v>
      </c>
      <c r="AZ331" s="1" t="s">
        <v>935</v>
      </c>
      <c r="BA331" s="1" t="s">
        <v>841</v>
      </c>
      <c r="BB331" s="1" t="s">
        <v>510</v>
      </c>
      <c r="BC331" s="1" t="s">
        <v>476</v>
      </c>
      <c r="BD331" s="1" t="s">
        <v>842</v>
      </c>
    </row>
    <row r="332" spans="1:56" ht="15.75" customHeight="1">
      <c r="A332" s="1">
        <v>30067</v>
      </c>
      <c r="B332" s="1">
        <v>0</v>
      </c>
      <c r="C332" s="1">
        <v>3</v>
      </c>
      <c r="D332" s="1">
        <v>3</v>
      </c>
      <c r="E332" s="1">
        <v>0</v>
      </c>
      <c r="G332" s="1">
        <v>52</v>
      </c>
      <c r="O332" s="1">
        <v>12</v>
      </c>
      <c r="P332" s="1"/>
      <c r="AL332" s="1">
        <v>8</v>
      </c>
      <c r="AQ332" s="1">
        <v>8</v>
      </c>
      <c r="AU332" s="1">
        <v>30</v>
      </c>
      <c r="AV332" s="1" t="s">
        <v>843</v>
      </c>
      <c r="AW332" s="1" t="s">
        <v>946</v>
      </c>
      <c r="AX332" s="1" t="s">
        <v>390</v>
      </c>
      <c r="AY332" s="1" t="s">
        <v>288</v>
      </c>
      <c r="AZ332" s="1" t="s">
        <v>636</v>
      </c>
      <c r="BA332" s="1" t="s">
        <v>844</v>
      </c>
      <c r="BB332" s="1" t="s">
        <v>167</v>
      </c>
      <c r="BC332" s="1" t="s">
        <v>487</v>
      </c>
      <c r="BD332" s="1" t="s">
        <v>845</v>
      </c>
    </row>
    <row r="333" spans="1:56" ht="15.75" customHeight="1">
      <c r="A333" s="1">
        <v>30067</v>
      </c>
      <c r="B333" s="1">
        <v>0</v>
      </c>
      <c r="C333" s="1">
        <v>3</v>
      </c>
      <c r="D333" s="1">
        <v>3</v>
      </c>
      <c r="E333" s="1">
        <v>1</v>
      </c>
      <c r="G333" s="1">
        <v>55</v>
      </c>
      <c r="O333" s="1">
        <v>12</v>
      </c>
      <c r="P333" s="1"/>
      <c r="AL333" s="1">
        <v>8</v>
      </c>
      <c r="AQ333" s="1">
        <v>8</v>
      </c>
      <c r="AU333" s="1">
        <v>35</v>
      </c>
      <c r="AV333" s="1" t="s">
        <v>843</v>
      </c>
      <c r="AW333" s="1" t="s">
        <v>949</v>
      </c>
      <c r="AX333" s="1" t="s">
        <v>390</v>
      </c>
      <c r="AY333" s="1" t="s">
        <v>288</v>
      </c>
      <c r="AZ333" s="1" t="s">
        <v>636</v>
      </c>
      <c r="BA333" s="1" t="s">
        <v>844</v>
      </c>
      <c r="BB333" s="1" t="s">
        <v>516</v>
      </c>
      <c r="BC333" s="1" t="s">
        <v>487</v>
      </c>
      <c r="BD333" s="1" t="s">
        <v>845</v>
      </c>
    </row>
    <row r="334" spans="1:56" ht="15.75" customHeight="1">
      <c r="A334" s="1">
        <v>30067</v>
      </c>
      <c r="B334" s="1">
        <v>0</v>
      </c>
      <c r="C334" s="1">
        <v>3</v>
      </c>
      <c r="D334" s="1">
        <v>3</v>
      </c>
      <c r="E334" s="1">
        <v>2</v>
      </c>
      <c r="G334" s="1">
        <v>59</v>
      </c>
      <c r="O334" s="1">
        <v>12</v>
      </c>
      <c r="P334" s="1"/>
      <c r="AL334" s="1">
        <v>11</v>
      </c>
      <c r="AQ334" s="1">
        <v>8</v>
      </c>
      <c r="AU334" s="1">
        <v>35</v>
      </c>
      <c r="AV334" s="1" t="s">
        <v>843</v>
      </c>
      <c r="AW334" s="1" t="s">
        <v>952</v>
      </c>
      <c r="AX334" s="1" t="s">
        <v>846</v>
      </c>
      <c r="AY334" s="1" t="s">
        <v>288</v>
      </c>
      <c r="AZ334" s="1" t="s">
        <v>636</v>
      </c>
      <c r="BA334" s="1" t="s">
        <v>844</v>
      </c>
      <c r="BB334" s="1" t="s">
        <v>516</v>
      </c>
      <c r="BC334" s="1" t="s">
        <v>487</v>
      </c>
      <c r="BD334" s="1" t="s">
        <v>845</v>
      </c>
    </row>
    <row r="335" spans="1:56" ht="15.75" customHeight="1">
      <c r="A335" s="1">
        <v>30067</v>
      </c>
      <c r="B335" s="1">
        <v>0</v>
      </c>
      <c r="C335" s="1">
        <v>3</v>
      </c>
      <c r="D335" s="1">
        <v>3</v>
      </c>
      <c r="E335" s="1">
        <v>3</v>
      </c>
      <c r="G335" s="1">
        <v>62</v>
      </c>
      <c r="O335" s="1">
        <v>12</v>
      </c>
      <c r="P335" s="1"/>
      <c r="AL335" s="1">
        <v>11</v>
      </c>
      <c r="AQ335" s="1">
        <v>11</v>
      </c>
      <c r="AU335" s="1">
        <v>35</v>
      </c>
      <c r="AV335" s="1" t="s">
        <v>843</v>
      </c>
      <c r="AW335" s="1" t="s">
        <v>955</v>
      </c>
      <c r="AX335" s="1" t="s">
        <v>846</v>
      </c>
      <c r="AY335" s="1" t="s">
        <v>595</v>
      </c>
      <c r="AZ335" s="1" t="s">
        <v>636</v>
      </c>
      <c r="BA335" s="1" t="s">
        <v>844</v>
      </c>
      <c r="BB335" s="1" t="s">
        <v>516</v>
      </c>
      <c r="BC335" s="1" t="s">
        <v>487</v>
      </c>
      <c r="BD335" s="1" t="s">
        <v>845</v>
      </c>
    </row>
    <row r="336" spans="1:56" ht="15.75" customHeight="1">
      <c r="A336" s="1">
        <v>30067</v>
      </c>
      <c r="B336" s="1">
        <v>0</v>
      </c>
      <c r="C336" s="1">
        <v>3</v>
      </c>
      <c r="D336" s="1">
        <v>3</v>
      </c>
      <c r="E336" s="1">
        <v>4</v>
      </c>
      <c r="G336" s="1">
        <v>65</v>
      </c>
      <c r="O336" s="1">
        <v>17</v>
      </c>
      <c r="P336" s="1"/>
      <c r="AL336" s="1">
        <v>11</v>
      </c>
      <c r="AQ336" s="1">
        <v>11</v>
      </c>
      <c r="AU336" s="1">
        <v>40</v>
      </c>
      <c r="AV336" s="1" t="s">
        <v>843</v>
      </c>
      <c r="AW336" s="1" t="s">
        <v>958</v>
      </c>
      <c r="AX336" s="1" t="s">
        <v>846</v>
      </c>
      <c r="AY336" s="1" t="s">
        <v>595</v>
      </c>
      <c r="AZ336" s="1" t="s">
        <v>639</v>
      </c>
      <c r="BA336" s="1" t="s">
        <v>844</v>
      </c>
      <c r="BB336" s="1" t="s">
        <v>522</v>
      </c>
      <c r="BC336" s="1" t="s">
        <v>487</v>
      </c>
      <c r="BD336" s="1" t="s">
        <v>845</v>
      </c>
    </row>
    <row r="337" spans="1:56" ht="15.75" customHeight="1">
      <c r="A337" s="1">
        <v>30068</v>
      </c>
      <c r="B337" s="1">
        <v>1</v>
      </c>
      <c r="C337" s="1">
        <v>0</v>
      </c>
      <c r="D337" s="1">
        <v>3</v>
      </c>
      <c r="E337" s="1">
        <v>0</v>
      </c>
      <c r="F337" s="1">
        <v>14</v>
      </c>
      <c r="G337" s="1">
        <v>52</v>
      </c>
      <c r="K337" s="1">
        <v>9</v>
      </c>
      <c r="U337" s="1">
        <v>4</v>
      </c>
      <c r="AU337" s="1">
        <v>30</v>
      </c>
      <c r="AV337" s="1" t="s">
        <v>847</v>
      </c>
      <c r="AW337" s="1" t="s">
        <v>945</v>
      </c>
      <c r="AX337" s="1" t="s">
        <v>684</v>
      </c>
      <c r="AY337" s="1" t="s">
        <v>817</v>
      </c>
      <c r="AZ337" s="1" t="s">
        <v>848</v>
      </c>
      <c r="BA337" s="1" t="s">
        <v>849</v>
      </c>
      <c r="BB337" s="1" t="s">
        <v>214</v>
      </c>
      <c r="BC337" s="1" t="s">
        <v>476</v>
      </c>
      <c r="BD337" s="1" t="s">
        <v>850</v>
      </c>
    </row>
    <row r="338" spans="1:56" ht="15.75" customHeight="1">
      <c r="A338" s="1">
        <v>30068</v>
      </c>
      <c r="B338" s="1">
        <v>1</v>
      </c>
      <c r="C338" s="1">
        <v>0</v>
      </c>
      <c r="D338" s="1">
        <v>3</v>
      </c>
      <c r="E338" s="1">
        <v>1</v>
      </c>
      <c r="F338" s="1">
        <v>14</v>
      </c>
      <c r="G338" s="1">
        <v>55</v>
      </c>
      <c r="K338" s="1">
        <v>9</v>
      </c>
      <c r="U338" s="1">
        <v>4</v>
      </c>
      <c r="AU338" s="1">
        <v>35</v>
      </c>
      <c r="AV338" s="1" t="s">
        <v>847</v>
      </c>
      <c r="AW338" s="1" t="s">
        <v>948</v>
      </c>
      <c r="AX338" s="1" t="s">
        <v>684</v>
      </c>
      <c r="AY338" s="1" t="s">
        <v>817</v>
      </c>
      <c r="AZ338" s="1" t="s">
        <v>848</v>
      </c>
      <c r="BA338" s="1" t="s">
        <v>849</v>
      </c>
      <c r="BB338" s="1" t="s">
        <v>503</v>
      </c>
      <c r="BC338" s="1" t="s">
        <v>476</v>
      </c>
      <c r="BD338" s="1" t="s">
        <v>850</v>
      </c>
    </row>
    <row r="339" spans="1:56" ht="15.75" customHeight="1">
      <c r="A339" s="1">
        <v>30068</v>
      </c>
      <c r="B339" s="1">
        <v>1</v>
      </c>
      <c r="C339" s="1">
        <v>0</v>
      </c>
      <c r="D339" s="1">
        <v>3</v>
      </c>
      <c r="E339" s="1">
        <v>2</v>
      </c>
      <c r="F339" s="1">
        <v>21</v>
      </c>
      <c r="G339" s="1">
        <v>59</v>
      </c>
      <c r="K339" s="1">
        <v>9</v>
      </c>
      <c r="U339" s="1">
        <v>4</v>
      </c>
      <c r="AU339" s="1">
        <v>35</v>
      </c>
      <c r="AV339" s="1" t="s">
        <v>847</v>
      </c>
      <c r="AW339" s="1" t="s">
        <v>951</v>
      </c>
      <c r="AX339" s="1" t="s">
        <v>220</v>
      </c>
      <c r="AY339" s="1" t="s">
        <v>817</v>
      </c>
      <c r="AZ339" s="1" t="s">
        <v>848</v>
      </c>
      <c r="BA339" s="1" t="s">
        <v>849</v>
      </c>
      <c r="BB339" s="1" t="s">
        <v>503</v>
      </c>
      <c r="BC339" s="1" t="s">
        <v>476</v>
      </c>
      <c r="BD339" s="1" t="s">
        <v>850</v>
      </c>
    </row>
    <row r="340" spans="1:56" ht="15.75" customHeight="1">
      <c r="A340" s="1">
        <v>30068</v>
      </c>
      <c r="B340" s="1">
        <v>1</v>
      </c>
      <c r="C340" s="1">
        <v>0</v>
      </c>
      <c r="D340" s="1">
        <v>3</v>
      </c>
      <c r="E340" s="1">
        <v>3</v>
      </c>
      <c r="F340" s="1">
        <v>21</v>
      </c>
      <c r="G340" s="1">
        <v>62</v>
      </c>
      <c r="K340" s="1">
        <v>9</v>
      </c>
      <c r="U340" s="1">
        <v>5</v>
      </c>
      <c r="AU340" s="1">
        <v>35</v>
      </c>
      <c r="AV340" s="1" t="s">
        <v>847</v>
      </c>
      <c r="AW340" s="1" t="s">
        <v>954</v>
      </c>
      <c r="AX340" s="1" t="s">
        <v>220</v>
      </c>
      <c r="AY340" s="1" t="s">
        <v>817</v>
      </c>
      <c r="AZ340" s="1" t="s">
        <v>783</v>
      </c>
      <c r="BA340" s="1" t="s">
        <v>849</v>
      </c>
      <c r="BB340" s="1" t="s">
        <v>503</v>
      </c>
      <c r="BC340" s="1" t="s">
        <v>476</v>
      </c>
      <c r="BD340" s="1" t="s">
        <v>850</v>
      </c>
    </row>
    <row r="341" spans="1:56" ht="15.75" customHeight="1">
      <c r="A341" s="1">
        <v>30068</v>
      </c>
      <c r="B341" s="1">
        <v>1</v>
      </c>
      <c r="C341" s="1">
        <v>0</v>
      </c>
      <c r="D341" s="1">
        <v>3</v>
      </c>
      <c r="E341" s="1">
        <v>4</v>
      </c>
      <c r="F341" s="1">
        <v>21</v>
      </c>
      <c r="G341" s="1">
        <v>65</v>
      </c>
      <c r="K341" s="1">
        <v>13</v>
      </c>
      <c r="U341" s="1">
        <v>5</v>
      </c>
      <c r="AU341" s="1">
        <v>40</v>
      </c>
      <c r="AV341" s="1" t="s">
        <v>847</v>
      </c>
      <c r="AW341" s="1" t="s">
        <v>957</v>
      </c>
      <c r="AX341" s="1" t="s">
        <v>220</v>
      </c>
      <c r="AY341" s="1" t="s">
        <v>820</v>
      </c>
      <c r="AZ341" s="1" t="s">
        <v>783</v>
      </c>
      <c r="BA341" s="1" t="s">
        <v>849</v>
      </c>
      <c r="BB341" s="1" t="s">
        <v>510</v>
      </c>
      <c r="BC341" s="1" t="s">
        <v>476</v>
      </c>
      <c r="BD341" s="1" t="s">
        <v>850</v>
      </c>
    </row>
    <row r="342" spans="1:56" ht="15.75" customHeight="1">
      <c r="A342" s="1">
        <v>30069</v>
      </c>
      <c r="B342" s="1">
        <v>1</v>
      </c>
      <c r="C342" s="1">
        <v>0</v>
      </c>
      <c r="D342" s="1">
        <v>3</v>
      </c>
      <c r="E342" s="1">
        <v>0</v>
      </c>
      <c r="I342" s="1">
        <v>6.5000000000000002E-2</v>
      </c>
      <c r="K342" s="1">
        <v>13</v>
      </c>
      <c r="AA342" s="1">
        <v>5</v>
      </c>
      <c r="AP342" s="1">
        <v>4</v>
      </c>
      <c r="AU342" s="1">
        <v>30</v>
      </c>
      <c r="AV342" s="1" t="s">
        <v>851</v>
      </c>
      <c r="AW342" s="1" t="s">
        <v>497</v>
      </c>
      <c r="AX342" s="1" t="s">
        <v>801</v>
      </c>
      <c r="AY342" s="1" t="s">
        <v>221</v>
      </c>
      <c r="AZ342" s="1" t="s">
        <v>852</v>
      </c>
      <c r="BA342" s="1" t="s">
        <v>853</v>
      </c>
      <c r="BB342" s="1" t="s">
        <v>214</v>
      </c>
      <c r="BC342" s="1" t="s">
        <v>487</v>
      </c>
      <c r="BD342" s="1" t="s">
        <v>854</v>
      </c>
    </row>
    <row r="343" spans="1:56" ht="15.75" customHeight="1">
      <c r="A343" s="1">
        <v>30069</v>
      </c>
      <c r="B343" s="1">
        <v>1</v>
      </c>
      <c r="C343" s="1">
        <v>0</v>
      </c>
      <c r="D343" s="1">
        <v>3</v>
      </c>
      <c r="E343" s="1">
        <v>1</v>
      </c>
      <c r="I343" s="1">
        <v>7.0000000000000007E-2</v>
      </c>
      <c r="K343" s="1">
        <v>13</v>
      </c>
      <c r="AA343" s="1">
        <v>5</v>
      </c>
      <c r="AP343" s="1">
        <v>4</v>
      </c>
      <c r="AU343" s="1">
        <v>35</v>
      </c>
      <c r="AV343" s="1" t="s">
        <v>851</v>
      </c>
      <c r="AW343" s="1" t="s">
        <v>502</v>
      </c>
      <c r="AX343" s="1" t="s">
        <v>801</v>
      </c>
      <c r="AY343" s="1" t="s">
        <v>221</v>
      </c>
      <c r="AZ343" s="1" t="s">
        <v>852</v>
      </c>
      <c r="BA343" s="1" t="s">
        <v>853</v>
      </c>
      <c r="BB343" s="1" t="s">
        <v>503</v>
      </c>
      <c r="BC343" s="1" t="s">
        <v>487</v>
      </c>
      <c r="BD343" s="1" t="s">
        <v>854</v>
      </c>
    </row>
    <row r="344" spans="1:56" ht="15.75" customHeight="1">
      <c r="A344" s="1">
        <v>30069</v>
      </c>
      <c r="B344" s="1">
        <v>1</v>
      </c>
      <c r="C344" s="1">
        <v>0</v>
      </c>
      <c r="D344" s="1">
        <v>3</v>
      </c>
      <c r="E344" s="1">
        <v>2</v>
      </c>
      <c r="I344" s="1">
        <v>7.4999999999999997E-2</v>
      </c>
      <c r="K344" s="1">
        <v>13</v>
      </c>
      <c r="AA344" s="1">
        <v>5</v>
      </c>
      <c r="AP344" s="1">
        <v>5</v>
      </c>
      <c r="AU344" s="1">
        <v>35</v>
      </c>
      <c r="AV344" s="1" t="s">
        <v>851</v>
      </c>
      <c r="AW344" s="1" t="s">
        <v>504</v>
      </c>
      <c r="AX344" s="1" t="s">
        <v>804</v>
      </c>
      <c r="AY344" s="1" t="s">
        <v>221</v>
      </c>
      <c r="AZ344" s="1" t="s">
        <v>852</v>
      </c>
      <c r="BA344" s="1" t="s">
        <v>853</v>
      </c>
      <c r="BB344" s="1" t="s">
        <v>503</v>
      </c>
      <c r="BC344" s="1" t="s">
        <v>487</v>
      </c>
      <c r="BD344" s="1" t="s">
        <v>854</v>
      </c>
    </row>
    <row r="345" spans="1:56" ht="15.75" customHeight="1">
      <c r="A345" s="1">
        <v>30069</v>
      </c>
      <c r="B345" s="1">
        <v>1</v>
      </c>
      <c r="C345" s="1">
        <v>0</v>
      </c>
      <c r="D345" s="1">
        <v>3</v>
      </c>
      <c r="E345" s="1">
        <v>3</v>
      </c>
      <c r="I345" s="1">
        <v>0.08</v>
      </c>
      <c r="K345" s="1">
        <v>17</v>
      </c>
      <c r="AA345" s="1">
        <v>5</v>
      </c>
      <c r="AP345" s="1">
        <v>5</v>
      </c>
      <c r="AU345" s="1">
        <v>35</v>
      </c>
      <c r="AV345" s="1" t="s">
        <v>851</v>
      </c>
      <c r="AW345" s="1" t="s">
        <v>506</v>
      </c>
      <c r="AX345" s="1" t="s">
        <v>804</v>
      </c>
      <c r="AY345" s="1" t="s">
        <v>538</v>
      </c>
      <c r="AZ345" s="1" t="s">
        <v>852</v>
      </c>
      <c r="BA345" s="1" t="s">
        <v>853</v>
      </c>
      <c r="BB345" s="1" t="s">
        <v>503</v>
      </c>
      <c r="BC345" s="1" t="s">
        <v>487</v>
      </c>
      <c r="BD345" s="1" t="s">
        <v>854</v>
      </c>
    </row>
    <row r="346" spans="1:56" ht="15.75" customHeight="1">
      <c r="A346" s="1">
        <v>30069</v>
      </c>
      <c r="B346" s="1">
        <v>1</v>
      </c>
      <c r="C346" s="1">
        <v>0</v>
      </c>
      <c r="D346" s="1">
        <v>3</v>
      </c>
      <c r="E346" s="1">
        <v>4</v>
      </c>
      <c r="I346" s="1">
        <v>8.5000000000000006E-2</v>
      </c>
      <c r="K346" s="1">
        <v>17</v>
      </c>
      <c r="AA346" s="1">
        <v>6</v>
      </c>
      <c r="AP346" s="1">
        <v>5</v>
      </c>
      <c r="AU346" s="1">
        <v>40</v>
      </c>
      <c r="AV346" s="1" t="s">
        <v>851</v>
      </c>
      <c r="AW346" s="1" t="s">
        <v>508</v>
      </c>
      <c r="AX346" s="1" t="s">
        <v>804</v>
      </c>
      <c r="AY346" s="1" t="s">
        <v>538</v>
      </c>
      <c r="AZ346" s="1" t="s">
        <v>855</v>
      </c>
      <c r="BA346" s="1" t="s">
        <v>853</v>
      </c>
      <c r="BB346" s="1" t="s">
        <v>510</v>
      </c>
      <c r="BC346" s="1" t="s">
        <v>487</v>
      </c>
      <c r="BD346" s="1" t="s">
        <v>854</v>
      </c>
    </row>
    <row r="347" spans="1:56" ht="15.75" customHeight="1">
      <c r="A347" s="1">
        <v>30070</v>
      </c>
      <c r="B347" s="1">
        <v>0</v>
      </c>
      <c r="C347" s="1">
        <v>0</v>
      </c>
      <c r="D347" s="1">
        <v>3</v>
      </c>
      <c r="E347" s="1">
        <v>0</v>
      </c>
      <c r="G347" s="1">
        <v>52</v>
      </c>
      <c r="U347" s="1">
        <v>4</v>
      </c>
      <c r="AL347" s="1">
        <v>6</v>
      </c>
      <c r="AU347" s="1">
        <v>30</v>
      </c>
      <c r="AV347" s="1" t="s">
        <v>856</v>
      </c>
      <c r="AW347" s="1" t="s">
        <v>946</v>
      </c>
      <c r="AX347" s="1" t="s">
        <v>54</v>
      </c>
      <c r="AY347" s="1" t="s">
        <v>806</v>
      </c>
      <c r="AZ347" s="1" t="s">
        <v>857</v>
      </c>
      <c r="BA347" s="1" t="s">
        <v>858</v>
      </c>
      <c r="BB347" s="1" t="s">
        <v>167</v>
      </c>
      <c r="BC347" s="1" t="s">
        <v>711</v>
      </c>
      <c r="BD347" s="1" t="s">
        <v>859</v>
      </c>
    </row>
    <row r="348" spans="1:56" ht="15.75" customHeight="1">
      <c r="A348" s="1">
        <v>30070</v>
      </c>
      <c r="B348" s="1">
        <v>0</v>
      </c>
      <c r="C348" s="1">
        <v>0</v>
      </c>
      <c r="D348" s="1">
        <v>3</v>
      </c>
      <c r="E348" s="1">
        <v>1</v>
      </c>
      <c r="G348" s="1">
        <v>55</v>
      </c>
      <c r="U348" s="1">
        <v>4</v>
      </c>
      <c r="AL348" s="1">
        <v>6</v>
      </c>
      <c r="AU348" s="1">
        <v>35</v>
      </c>
      <c r="AV348" s="1" t="s">
        <v>856</v>
      </c>
      <c r="AW348" s="1" t="s">
        <v>949</v>
      </c>
      <c r="AX348" s="1" t="s">
        <v>54</v>
      </c>
      <c r="AY348" s="1" t="s">
        <v>806</v>
      </c>
      <c r="AZ348" s="1" t="s">
        <v>857</v>
      </c>
      <c r="BA348" s="1" t="s">
        <v>858</v>
      </c>
      <c r="BB348" s="1" t="s">
        <v>516</v>
      </c>
      <c r="BC348" s="1" t="s">
        <v>711</v>
      </c>
      <c r="BD348" s="2" t="s">
        <v>859</v>
      </c>
    </row>
    <row r="349" spans="1:56" ht="15.75" customHeight="1">
      <c r="A349" s="1">
        <v>30070</v>
      </c>
      <c r="B349" s="1">
        <v>0</v>
      </c>
      <c r="C349" s="1">
        <v>0</v>
      </c>
      <c r="D349" s="1">
        <v>3</v>
      </c>
      <c r="E349" s="1">
        <v>2</v>
      </c>
      <c r="G349" s="1">
        <v>59</v>
      </c>
      <c r="U349" s="1">
        <v>4</v>
      </c>
      <c r="AL349" s="1">
        <v>6</v>
      </c>
      <c r="AU349" s="1">
        <v>35</v>
      </c>
      <c r="AV349" s="1" t="s">
        <v>856</v>
      </c>
      <c r="AW349" s="1" t="s">
        <v>952</v>
      </c>
      <c r="AX349" s="1" t="s">
        <v>182</v>
      </c>
      <c r="AY349" s="1" t="s">
        <v>806</v>
      </c>
      <c r="AZ349" s="1" t="s">
        <v>857</v>
      </c>
      <c r="BA349" s="1" t="s">
        <v>858</v>
      </c>
      <c r="BB349" s="1" t="s">
        <v>516</v>
      </c>
      <c r="BC349" s="1" t="s">
        <v>711</v>
      </c>
      <c r="BD349" s="1" t="s">
        <v>859</v>
      </c>
    </row>
    <row r="350" spans="1:56" ht="15.75" customHeight="1">
      <c r="A350" s="1">
        <v>30070</v>
      </c>
      <c r="B350" s="1">
        <v>0</v>
      </c>
      <c r="C350" s="1">
        <v>0</v>
      </c>
      <c r="D350" s="1">
        <v>3</v>
      </c>
      <c r="E350" s="1">
        <v>3</v>
      </c>
      <c r="G350" s="1">
        <v>62</v>
      </c>
      <c r="U350" s="1">
        <v>4</v>
      </c>
      <c r="AL350" s="1">
        <v>8</v>
      </c>
      <c r="AU350" s="1">
        <v>35</v>
      </c>
      <c r="AV350" s="1" t="s">
        <v>856</v>
      </c>
      <c r="AW350" s="1" t="s">
        <v>955</v>
      </c>
      <c r="AX350" s="1" t="s">
        <v>182</v>
      </c>
      <c r="AY350" s="1" t="s">
        <v>806</v>
      </c>
      <c r="AZ350" s="1" t="s">
        <v>390</v>
      </c>
      <c r="BA350" s="1" t="s">
        <v>858</v>
      </c>
      <c r="BB350" s="1" t="s">
        <v>516</v>
      </c>
      <c r="BC350" s="1" t="s">
        <v>711</v>
      </c>
      <c r="BD350" s="1" t="s">
        <v>859</v>
      </c>
    </row>
    <row r="351" spans="1:56" ht="15.75" customHeight="1">
      <c r="A351" s="1">
        <v>30070</v>
      </c>
      <c r="B351" s="1">
        <v>0</v>
      </c>
      <c r="C351" s="1">
        <v>0</v>
      </c>
      <c r="D351" s="1">
        <v>3</v>
      </c>
      <c r="E351" s="1">
        <v>4</v>
      </c>
      <c r="G351" s="1">
        <v>65</v>
      </c>
      <c r="U351" s="1">
        <v>5</v>
      </c>
      <c r="AL351" s="1">
        <v>8</v>
      </c>
      <c r="AU351" s="1">
        <v>40</v>
      </c>
      <c r="AV351" s="1" t="s">
        <v>856</v>
      </c>
      <c r="AW351" s="1" t="s">
        <v>958</v>
      </c>
      <c r="AX351" s="1" t="s">
        <v>182</v>
      </c>
      <c r="AY351" s="1" t="s">
        <v>811</v>
      </c>
      <c r="AZ351" s="1" t="s">
        <v>390</v>
      </c>
      <c r="BA351" s="1" t="s">
        <v>858</v>
      </c>
      <c r="BB351" s="1" t="s">
        <v>522</v>
      </c>
      <c r="BC351" s="1" t="s">
        <v>711</v>
      </c>
      <c r="BD351" s="1" t="s">
        <v>859</v>
      </c>
    </row>
    <row r="352" spans="1:56" ht="15.75" customHeight="1">
      <c r="A352" s="1">
        <v>30071</v>
      </c>
      <c r="B352" s="1">
        <v>1</v>
      </c>
      <c r="C352" s="1">
        <v>1</v>
      </c>
      <c r="D352" s="1">
        <v>3</v>
      </c>
      <c r="E352" s="1">
        <v>0</v>
      </c>
      <c r="F352" s="1">
        <v>21</v>
      </c>
      <c r="G352" s="1">
        <v>52</v>
      </c>
      <c r="K352" s="1">
        <v>13</v>
      </c>
      <c r="AP352" s="1">
        <v>4</v>
      </c>
      <c r="AU352" s="1">
        <v>30</v>
      </c>
      <c r="AV352" s="1" t="s">
        <v>860</v>
      </c>
      <c r="AW352" s="1" t="s">
        <v>945</v>
      </c>
      <c r="AX352" s="1" t="s">
        <v>220</v>
      </c>
      <c r="AY352" s="1" t="s">
        <v>221</v>
      </c>
      <c r="AZ352" s="1" t="s">
        <v>801</v>
      </c>
      <c r="BA352" s="1" t="s">
        <v>861</v>
      </c>
      <c r="BB352" s="1" t="s">
        <v>214</v>
      </c>
      <c r="BC352" s="1" t="s">
        <v>487</v>
      </c>
      <c r="BD352" s="1" t="s">
        <v>862</v>
      </c>
    </row>
    <row r="353" spans="1:56" ht="15.75" customHeight="1">
      <c r="A353" s="1">
        <v>30071</v>
      </c>
      <c r="B353" s="1">
        <v>1</v>
      </c>
      <c r="C353" s="1">
        <v>1</v>
      </c>
      <c r="D353" s="1">
        <v>3</v>
      </c>
      <c r="E353" s="1">
        <v>1</v>
      </c>
      <c r="F353" s="1">
        <v>21</v>
      </c>
      <c r="G353" s="1">
        <v>55</v>
      </c>
      <c r="K353" s="1">
        <v>13</v>
      </c>
      <c r="AP353" s="1">
        <v>4</v>
      </c>
      <c r="AU353" s="1">
        <v>35</v>
      </c>
      <c r="AV353" s="1" t="s">
        <v>860</v>
      </c>
      <c r="AW353" s="1" t="s">
        <v>948</v>
      </c>
      <c r="AX353" s="1" t="s">
        <v>220</v>
      </c>
      <c r="AY353" s="1" t="s">
        <v>221</v>
      </c>
      <c r="AZ353" s="1" t="s">
        <v>801</v>
      </c>
      <c r="BA353" s="1" t="s">
        <v>861</v>
      </c>
      <c r="BB353" s="1" t="s">
        <v>503</v>
      </c>
      <c r="BC353" s="1" t="s">
        <v>487</v>
      </c>
      <c r="BD353" s="1" t="s">
        <v>862</v>
      </c>
    </row>
    <row r="354" spans="1:56" ht="15.75" customHeight="1">
      <c r="A354" s="1">
        <v>30071</v>
      </c>
      <c r="B354" s="1">
        <v>1</v>
      </c>
      <c r="C354" s="1">
        <v>1</v>
      </c>
      <c r="D354" s="1">
        <v>3</v>
      </c>
      <c r="E354" s="1">
        <v>2</v>
      </c>
      <c r="F354" s="1">
        <v>28</v>
      </c>
      <c r="G354" s="1">
        <v>59</v>
      </c>
      <c r="K354" s="1">
        <v>13</v>
      </c>
      <c r="AP354" s="1">
        <v>4</v>
      </c>
      <c r="AU354" s="1">
        <v>35</v>
      </c>
      <c r="AV354" s="1" t="s">
        <v>860</v>
      </c>
      <c r="AW354" s="1" t="s">
        <v>951</v>
      </c>
      <c r="AX354" s="1" t="s">
        <v>537</v>
      </c>
      <c r="AY354" s="1" t="s">
        <v>221</v>
      </c>
      <c r="AZ354" s="1" t="s">
        <v>801</v>
      </c>
      <c r="BA354" s="1" t="s">
        <v>861</v>
      </c>
      <c r="BB354" s="1" t="s">
        <v>503</v>
      </c>
      <c r="BC354" s="1" t="s">
        <v>487</v>
      </c>
      <c r="BD354" s="1" t="s">
        <v>862</v>
      </c>
    </row>
    <row r="355" spans="1:56" ht="15.75" customHeight="1">
      <c r="A355" s="1">
        <v>30071</v>
      </c>
      <c r="B355" s="1">
        <v>1</v>
      </c>
      <c r="C355" s="1">
        <v>1</v>
      </c>
      <c r="D355" s="1">
        <v>3</v>
      </c>
      <c r="E355" s="1">
        <v>3</v>
      </c>
      <c r="F355" s="1">
        <v>28</v>
      </c>
      <c r="G355" s="1">
        <v>62</v>
      </c>
      <c r="K355" s="1">
        <v>17</v>
      </c>
      <c r="AP355" s="1">
        <v>4</v>
      </c>
      <c r="AU355" s="1">
        <v>35</v>
      </c>
      <c r="AV355" s="1" t="s">
        <v>860</v>
      </c>
      <c r="AW355" s="1" t="s">
        <v>954</v>
      </c>
      <c r="AX355" s="1" t="s">
        <v>537</v>
      </c>
      <c r="AY355" s="1" t="s">
        <v>538</v>
      </c>
      <c r="AZ355" s="1" t="s">
        <v>801</v>
      </c>
      <c r="BA355" s="1" t="s">
        <v>861</v>
      </c>
      <c r="BB355" s="1" t="s">
        <v>503</v>
      </c>
      <c r="BC355" s="1" t="s">
        <v>487</v>
      </c>
      <c r="BD355" s="1" t="s">
        <v>862</v>
      </c>
    </row>
    <row r="356" spans="1:56" ht="15.75" customHeight="1">
      <c r="A356" s="1">
        <v>30071</v>
      </c>
      <c r="B356" s="1">
        <v>1</v>
      </c>
      <c r="C356" s="1">
        <v>1</v>
      </c>
      <c r="D356" s="1">
        <v>3</v>
      </c>
      <c r="E356" s="1">
        <v>4</v>
      </c>
      <c r="F356" s="1">
        <v>28</v>
      </c>
      <c r="G356" s="1">
        <v>65</v>
      </c>
      <c r="K356" s="1">
        <v>17</v>
      </c>
      <c r="AP356" s="1">
        <v>5</v>
      </c>
      <c r="AU356" s="1">
        <v>40</v>
      </c>
      <c r="AV356" s="1" t="s">
        <v>860</v>
      </c>
      <c r="AW356" s="1" t="s">
        <v>957</v>
      </c>
      <c r="AX356" s="1" t="s">
        <v>537</v>
      </c>
      <c r="AY356" s="1" t="s">
        <v>538</v>
      </c>
      <c r="AZ356" s="1" t="s">
        <v>804</v>
      </c>
      <c r="BA356" s="1" t="s">
        <v>861</v>
      </c>
      <c r="BB356" s="1" t="s">
        <v>510</v>
      </c>
      <c r="BC356" s="1" t="s">
        <v>487</v>
      </c>
      <c r="BD356" s="1" t="s">
        <v>862</v>
      </c>
    </row>
    <row r="357" spans="1:56" ht="15.75" customHeight="1">
      <c r="A357" s="1">
        <v>30072</v>
      </c>
      <c r="B357" s="1">
        <v>0</v>
      </c>
      <c r="C357" s="1">
        <v>2</v>
      </c>
      <c r="D357" s="1">
        <v>3</v>
      </c>
      <c r="E357" s="1">
        <v>0</v>
      </c>
      <c r="I357" s="1">
        <v>6.5000000000000002E-2</v>
      </c>
      <c r="K357" s="1">
        <v>13</v>
      </c>
      <c r="O357" s="1">
        <v>12</v>
      </c>
      <c r="P357" s="1"/>
      <c r="U357" s="1">
        <v>5</v>
      </c>
      <c r="AU357" s="1">
        <v>30</v>
      </c>
      <c r="AV357" s="2" t="s">
        <v>863</v>
      </c>
      <c r="AW357" s="1" t="s">
        <v>512</v>
      </c>
      <c r="AX357" s="1" t="s">
        <v>811</v>
      </c>
      <c r="AY357" s="1" t="s">
        <v>166</v>
      </c>
      <c r="AZ357" s="1" t="s">
        <v>636</v>
      </c>
      <c r="BA357" s="2" t="s">
        <v>864</v>
      </c>
      <c r="BB357" s="1" t="s">
        <v>167</v>
      </c>
      <c r="BC357" s="1" t="s">
        <v>487</v>
      </c>
      <c r="BD357" s="2" t="s">
        <v>865</v>
      </c>
    </row>
    <row r="358" spans="1:56" ht="15.75" customHeight="1">
      <c r="A358" s="1">
        <v>30072</v>
      </c>
      <c r="B358" s="1">
        <v>0</v>
      </c>
      <c r="C358" s="1">
        <v>2</v>
      </c>
      <c r="D358" s="1">
        <v>3</v>
      </c>
      <c r="E358" s="1">
        <v>1</v>
      </c>
      <c r="I358" s="1">
        <v>7.0000000000000007E-2</v>
      </c>
      <c r="K358" s="1">
        <v>13</v>
      </c>
      <c r="O358" s="1">
        <v>12</v>
      </c>
      <c r="P358" s="1"/>
      <c r="U358" s="1">
        <v>5</v>
      </c>
      <c r="AU358" s="1">
        <v>35</v>
      </c>
      <c r="AV358" s="2" t="s">
        <v>863</v>
      </c>
      <c r="AW358" s="1" t="s">
        <v>515</v>
      </c>
      <c r="AX358" s="1" t="s">
        <v>811</v>
      </c>
      <c r="AY358" s="1" t="s">
        <v>166</v>
      </c>
      <c r="AZ358" s="1" t="s">
        <v>636</v>
      </c>
      <c r="BA358" s="2" t="s">
        <v>864</v>
      </c>
      <c r="BB358" s="1" t="s">
        <v>516</v>
      </c>
      <c r="BC358" s="1" t="s">
        <v>487</v>
      </c>
      <c r="BD358" s="2" t="s">
        <v>865</v>
      </c>
    </row>
    <row r="359" spans="1:56" ht="15.75" customHeight="1">
      <c r="A359" s="1">
        <v>30072</v>
      </c>
      <c r="B359" s="1">
        <v>0</v>
      </c>
      <c r="C359" s="1">
        <v>2</v>
      </c>
      <c r="D359" s="1">
        <v>3</v>
      </c>
      <c r="E359" s="1">
        <v>2</v>
      </c>
      <c r="I359" s="1">
        <v>7.4999999999999997E-2</v>
      </c>
      <c r="K359" s="1">
        <v>13</v>
      </c>
      <c r="O359" s="1">
        <v>12</v>
      </c>
      <c r="P359" s="1"/>
      <c r="U359" s="1">
        <v>7</v>
      </c>
      <c r="AU359" s="1">
        <v>35</v>
      </c>
      <c r="AV359" s="2" t="s">
        <v>863</v>
      </c>
      <c r="AW359" s="1" t="s">
        <v>517</v>
      </c>
      <c r="AX359" s="1" t="s">
        <v>866</v>
      </c>
      <c r="AY359" s="1" t="s">
        <v>166</v>
      </c>
      <c r="AZ359" s="1" t="s">
        <v>636</v>
      </c>
      <c r="BA359" s="2" t="s">
        <v>864</v>
      </c>
      <c r="BB359" s="1" t="s">
        <v>516</v>
      </c>
      <c r="BC359" s="1" t="s">
        <v>487</v>
      </c>
      <c r="BD359" s="2" t="s">
        <v>865</v>
      </c>
    </row>
    <row r="360" spans="1:56" ht="15.75" customHeight="1">
      <c r="A360" s="1">
        <v>30072</v>
      </c>
      <c r="B360" s="1">
        <v>0</v>
      </c>
      <c r="C360" s="1">
        <v>2</v>
      </c>
      <c r="D360" s="1">
        <v>3</v>
      </c>
      <c r="E360" s="1">
        <v>3</v>
      </c>
      <c r="I360" s="1">
        <v>0.08</v>
      </c>
      <c r="K360" s="1">
        <v>17</v>
      </c>
      <c r="O360" s="1">
        <v>12</v>
      </c>
      <c r="P360" s="1"/>
      <c r="U360" s="1">
        <v>7</v>
      </c>
      <c r="AU360" s="1">
        <v>35</v>
      </c>
      <c r="AV360" s="2" t="s">
        <v>863</v>
      </c>
      <c r="AW360" s="1" t="s">
        <v>518</v>
      </c>
      <c r="AX360" s="1" t="s">
        <v>866</v>
      </c>
      <c r="AY360" s="1" t="s">
        <v>545</v>
      </c>
      <c r="AZ360" s="1" t="s">
        <v>636</v>
      </c>
      <c r="BA360" s="2" t="s">
        <v>864</v>
      </c>
      <c r="BB360" s="1" t="s">
        <v>516</v>
      </c>
      <c r="BC360" s="1" t="s">
        <v>487</v>
      </c>
      <c r="BD360" s="2" t="s">
        <v>865</v>
      </c>
    </row>
    <row r="361" spans="1:56" ht="15.75" customHeight="1">
      <c r="A361" s="1">
        <v>30072</v>
      </c>
      <c r="B361" s="1">
        <v>0</v>
      </c>
      <c r="C361" s="1">
        <v>2</v>
      </c>
      <c r="D361" s="1">
        <v>3</v>
      </c>
      <c r="E361" s="1">
        <v>4</v>
      </c>
      <c r="I361" s="1">
        <v>8.5000000000000006E-2</v>
      </c>
      <c r="K361" s="1">
        <v>17</v>
      </c>
      <c r="O361" s="1">
        <v>17</v>
      </c>
      <c r="P361" s="1"/>
      <c r="U361" s="1">
        <v>7</v>
      </c>
      <c r="AU361" s="1">
        <v>40</v>
      </c>
      <c r="AV361" s="2" t="s">
        <v>863</v>
      </c>
      <c r="AW361" s="1" t="s">
        <v>520</v>
      </c>
      <c r="AX361" s="1" t="s">
        <v>866</v>
      </c>
      <c r="AY361" s="1" t="s">
        <v>545</v>
      </c>
      <c r="AZ361" s="2" t="s">
        <v>639</v>
      </c>
      <c r="BA361" s="2" t="s">
        <v>864</v>
      </c>
      <c r="BB361" s="1" t="s">
        <v>522</v>
      </c>
      <c r="BC361" s="1" t="s">
        <v>487</v>
      </c>
      <c r="BD361" s="2" t="s">
        <v>865</v>
      </c>
    </row>
    <row r="362" spans="1:56" ht="15.75" customHeight="1">
      <c r="A362" s="2">
        <v>30073</v>
      </c>
      <c r="B362" s="2">
        <v>0</v>
      </c>
      <c r="C362" s="2">
        <v>3</v>
      </c>
      <c r="D362" s="2">
        <v>3</v>
      </c>
      <c r="E362" s="1">
        <v>0</v>
      </c>
      <c r="F362" s="1">
        <v>21</v>
      </c>
      <c r="G362" s="1">
        <v>52</v>
      </c>
      <c r="O362" s="1">
        <v>12</v>
      </c>
      <c r="P362" s="1"/>
      <c r="AL362" s="1">
        <v>8</v>
      </c>
      <c r="AU362" s="1">
        <v>30</v>
      </c>
      <c r="AV362" s="2" t="s">
        <v>867</v>
      </c>
      <c r="AW362" s="1" t="s">
        <v>946</v>
      </c>
      <c r="AX362" s="1" t="s">
        <v>161</v>
      </c>
      <c r="AY362" s="1" t="s">
        <v>636</v>
      </c>
      <c r="AZ362" s="2" t="s">
        <v>390</v>
      </c>
      <c r="BA362" s="2" t="s">
        <v>868</v>
      </c>
      <c r="BB362" s="1" t="s">
        <v>167</v>
      </c>
      <c r="BC362" s="1" t="s">
        <v>487</v>
      </c>
      <c r="BD362" s="2" t="s">
        <v>869</v>
      </c>
    </row>
    <row r="363" spans="1:56" ht="15.75" customHeight="1">
      <c r="A363" s="2">
        <v>30073</v>
      </c>
      <c r="B363" s="2">
        <v>0</v>
      </c>
      <c r="C363" s="2">
        <v>3</v>
      </c>
      <c r="D363" s="2">
        <v>3</v>
      </c>
      <c r="E363" s="1">
        <v>1</v>
      </c>
      <c r="F363" s="1">
        <v>21</v>
      </c>
      <c r="G363" s="1">
        <v>55</v>
      </c>
      <c r="O363" s="1">
        <v>12</v>
      </c>
      <c r="P363" s="1"/>
      <c r="AL363" s="1">
        <v>8</v>
      </c>
      <c r="AU363" s="1">
        <v>35</v>
      </c>
      <c r="AV363" s="2" t="s">
        <v>867</v>
      </c>
      <c r="AW363" s="1" t="s">
        <v>949</v>
      </c>
      <c r="AX363" s="1" t="s">
        <v>161</v>
      </c>
      <c r="AY363" s="1" t="s">
        <v>636</v>
      </c>
      <c r="AZ363" s="2" t="s">
        <v>390</v>
      </c>
      <c r="BA363" s="2" t="s">
        <v>868</v>
      </c>
      <c r="BB363" s="1" t="s">
        <v>516</v>
      </c>
      <c r="BC363" s="1" t="s">
        <v>487</v>
      </c>
      <c r="BD363" s="2" t="s">
        <v>869</v>
      </c>
    </row>
    <row r="364" spans="1:56" ht="15.75" customHeight="1">
      <c r="A364" s="2">
        <v>30073</v>
      </c>
      <c r="B364" s="2">
        <v>0</v>
      </c>
      <c r="C364" s="2">
        <v>3</v>
      </c>
      <c r="D364" s="2">
        <v>3</v>
      </c>
      <c r="E364" s="1">
        <v>2</v>
      </c>
      <c r="F364" s="1">
        <v>28</v>
      </c>
      <c r="G364" s="1">
        <v>59</v>
      </c>
      <c r="O364" s="1">
        <v>12</v>
      </c>
      <c r="P364" s="1"/>
      <c r="AL364" s="1">
        <v>8</v>
      </c>
      <c r="AU364" s="1">
        <v>35</v>
      </c>
      <c r="AV364" s="2" t="s">
        <v>867</v>
      </c>
      <c r="AW364" s="1" t="s">
        <v>952</v>
      </c>
      <c r="AX364" s="1" t="s">
        <v>544</v>
      </c>
      <c r="AY364" s="1" t="s">
        <v>636</v>
      </c>
      <c r="AZ364" s="2" t="s">
        <v>390</v>
      </c>
      <c r="BA364" s="2" t="s">
        <v>868</v>
      </c>
      <c r="BB364" s="1" t="s">
        <v>516</v>
      </c>
      <c r="BC364" s="1" t="s">
        <v>487</v>
      </c>
      <c r="BD364" s="2" t="s">
        <v>869</v>
      </c>
    </row>
    <row r="365" spans="1:56" ht="15.75" customHeight="1">
      <c r="A365" s="2">
        <v>30073</v>
      </c>
      <c r="B365" s="2">
        <v>0</v>
      </c>
      <c r="C365" s="2">
        <v>3</v>
      </c>
      <c r="D365" s="2">
        <v>3</v>
      </c>
      <c r="E365" s="1">
        <v>3</v>
      </c>
      <c r="F365" s="1">
        <v>28</v>
      </c>
      <c r="G365" s="1">
        <v>62</v>
      </c>
      <c r="O365" s="1">
        <v>17</v>
      </c>
      <c r="P365" s="1"/>
      <c r="AL365" s="1">
        <v>8</v>
      </c>
      <c r="AU365" s="1">
        <v>35</v>
      </c>
      <c r="AV365" s="2" t="s">
        <v>867</v>
      </c>
      <c r="AW365" s="1" t="s">
        <v>955</v>
      </c>
      <c r="AX365" s="1" t="s">
        <v>544</v>
      </c>
      <c r="AY365" s="1" t="s">
        <v>639</v>
      </c>
      <c r="AZ365" s="2" t="s">
        <v>390</v>
      </c>
      <c r="BA365" s="2" t="s">
        <v>868</v>
      </c>
      <c r="BB365" s="1" t="s">
        <v>516</v>
      </c>
      <c r="BC365" s="1" t="s">
        <v>487</v>
      </c>
      <c r="BD365" s="2" t="s">
        <v>869</v>
      </c>
    </row>
    <row r="366" spans="1:56" ht="15.75" customHeight="1">
      <c r="A366" s="2">
        <v>30073</v>
      </c>
      <c r="B366" s="2">
        <v>0</v>
      </c>
      <c r="C366" s="2">
        <v>3</v>
      </c>
      <c r="D366" s="2">
        <v>3</v>
      </c>
      <c r="E366" s="1">
        <v>4</v>
      </c>
      <c r="F366" s="1">
        <v>28</v>
      </c>
      <c r="G366" s="1">
        <v>65</v>
      </c>
      <c r="O366" s="1">
        <v>17</v>
      </c>
      <c r="P366" s="1"/>
      <c r="AL366" s="1">
        <v>11</v>
      </c>
      <c r="AU366" s="1">
        <v>40</v>
      </c>
      <c r="AV366" s="2" t="s">
        <v>867</v>
      </c>
      <c r="AW366" s="1" t="s">
        <v>958</v>
      </c>
      <c r="AX366" s="1" t="s">
        <v>544</v>
      </c>
      <c r="AY366" s="1" t="s">
        <v>639</v>
      </c>
      <c r="AZ366" s="2" t="s">
        <v>846</v>
      </c>
      <c r="BA366" s="2" t="s">
        <v>868</v>
      </c>
      <c r="BB366" s="1" t="s">
        <v>522</v>
      </c>
      <c r="BC366" s="1" t="s">
        <v>487</v>
      </c>
      <c r="BD366" s="2" t="s">
        <v>869</v>
      </c>
    </row>
    <row r="367" spans="1:56" ht="15.75" customHeight="1">
      <c r="A367" s="2">
        <v>30074</v>
      </c>
      <c r="B367" s="2">
        <v>2</v>
      </c>
      <c r="C367" s="2">
        <v>2</v>
      </c>
      <c r="D367" s="2">
        <v>3</v>
      </c>
      <c r="E367" s="1">
        <v>0</v>
      </c>
      <c r="F367" s="1">
        <v>21</v>
      </c>
      <c r="G367" s="1">
        <v>52</v>
      </c>
      <c r="L367" s="2">
        <v>15</v>
      </c>
      <c r="AS367" s="2">
        <v>8</v>
      </c>
      <c r="AU367" s="1">
        <v>30</v>
      </c>
      <c r="AV367" s="2" t="s">
        <v>870</v>
      </c>
      <c r="AW367" s="1" t="s">
        <v>944</v>
      </c>
      <c r="AX367" s="1" t="s">
        <v>146</v>
      </c>
      <c r="AY367" s="2" t="s">
        <v>871</v>
      </c>
      <c r="AZ367" s="2" t="s">
        <v>432</v>
      </c>
      <c r="BA367" s="2" t="s">
        <v>872</v>
      </c>
      <c r="BB367" s="1" t="s">
        <v>152</v>
      </c>
      <c r="BC367" s="1" t="s">
        <v>487</v>
      </c>
      <c r="BD367" s="2" t="s">
        <v>873</v>
      </c>
    </row>
    <row r="368" spans="1:56" ht="15.75" customHeight="1">
      <c r="A368" s="2">
        <v>30074</v>
      </c>
      <c r="B368" s="2">
        <v>2</v>
      </c>
      <c r="C368" s="2">
        <v>2</v>
      </c>
      <c r="D368" s="2">
        <v>3</v>
      </c>
      <c r="E368" s="1">
        <v>1</v>
      </c>
      <c r="F368" s="1">
        <v>21</v>
      </c>
      <c r="G368" s="1">
        <v>55</v>
      </c>
      <c r="L368" s="2">
        <v>15</v>
      </c>
      <c r="AS368" s="2">
        <v>8</v>
      </c>
      <c r="AU368" s="1">
        <v>35</v>
      </c>
      <c r="AV368" s="2" t="s">
        <v>870</v>
      </c>
      <c r="AW368" s="1" t="s">
        <v>947</v>
      </c>
      <c r="AX368" s="1" t="s">
        <v>146</v>
      </c>
      <c r="AY368" s="2" t="s">
        <v>871</v>
      </c>
      <c r="AZ368" s="2" t="s">
        <v>432</v>
      </c>
      <c r="BA368" s="2" t="s">
        <v>872</v>
      </c>
      <c r="BB368" s="1" t="s">
        <v>478</v>
      </c>
      <c r="BC368" s="1" t="s">
        <v>487</v>
      </c>
      <c r="BD368" s="2" t="s">
        <v>873</v>
      </c>
    </row>
    <row r="369" spans="1:56" ht="15.75" customHeight="1">
      <c r="A369" s="2">
        <v>30074</v>
      </c>
      <c r="B369" s="2">
        <v>2</v>
      </c>
      <c r="C369" s="2">
        <v>2</v>
      </c>
      <c r="D369" s="2">
        <v>3</v>
      </c>
      <c r="E369" s="1">
        <v>2</v>
      </c>
      <c r="F369" s="1">
        <v>28</v>
      </c>
      <c r="G369" s="1">
        <v>59</v>
      </c>
      <c r="L369" s="2">
        <v>15</v>
      </c>
      <c r="AS369" s="2">
        <v>8</v>
      </c>
      <c r="AU369" s="1">
        <v>35</v>
      </c>
      <c r="AV369" s="2" t="s">
        <v>870</v>
      </c>
      <c r="AW369" s="1" t="s">
        <v>950</v>
      </c>
      <c r="AX369" s="1" t="s">
        <v>532</v>
      </c>
      <c r="AY369" s="2" t="s">
        <v>871</v>
      </c>
      <c r="AZ369" s="2" t="s">
        <v>432</v>
      </c>
      <c r="BA369" s="2" t="s">
        <v>872</v>
      </c>
      <c r="BB369" s="1" t="s">
        <v>478</v>
      </c>
      <c r="BC369" s="1" t="s">
        <v>487</v>
      </c>
      <c r="BD369" s="2" t="s">
        <v>873</v>
      </c>
    </row>
    <row r="370" spans="1:56" ht="15.75" customHeight="1">
      <c r="A370" s="2">
        <v>30074</v>
      </c>
      <c r="B370" s="2">
        <v>2</v>
      </c>
      <c r="C370" s="2">
        <v>2</v>
      </c>
      <c r="D370" s="2">
        <v>3</v>
      </c>
      <c r="E370" s="1">
        <v>3</v>
      </c>
      <c r="F370" s="1">
        <v>28</v>
      </c>
      <c r="G370" s="1">
        <v>62</v>
      </c>
      <c r="L370" s="2">
        <v>21</v>
      </c>
      <c r="AS370" s="2">
        <v>8</v>
      </c>
      <c r="AU370" s="1">
        <v>35</v>
      </c>
      <c r="AV370" s="2" t="s">
        <v>870</v>
      </c>
      <c r="AW370" s="1" t="s">
        <v>953</v>
      </c>
      <c r="AX370" s="1" t="s">
        <v>532</v>
      </c>
      <c r="AY370" s="2" t="s">
        <v>874</v>
      </c>
      <c r="AZ370" s="2" t="s">
        <v>432</v>
      </c>
      <c r="BA370" s="2" t="s">
        <v>872</v>
      </c>
      <c r="BB370" s="1" t="s">
        <v>478</v>
      </c>
      <c r="BC370" s="1" t="s">
        <v>487</v>
      </c>
      <c r="BD370" s="2" t="s">
        <v>873</v>
      </c>
    </row>
    <row r="371" spans="1:56" ht="15.75" customHeight="1">
      <c r="A371" s="2">
        <v>30074</v>
      </c>
      <c r="B371" s="2">
        <v>2</v>
      </c>
      <c r="C371" s="2">
        <v>2</v>
      </c>
      <c r="D371" s="2">
        <v>3</v>
      </c>
      <c r="E371" s="1">
        <v>4</v>
      </c>
      <c r="F371" s="1">
        <v>28</v>
      </c>
      <c r="G371" s="1">
        <v>65</v>
      </c>
      <c r="L371" s="2">
        <v>21</v>
      </c>
      <c r="AS371" s="2">
        <v>11</v>
      </c>
      <c r="AU371" s="1">
        <v>40</v>
      </c>
      <c r="AV371" s="2" t="s">
        <v>870</v>
      </c>
      <c r="AW371" s="1" t="s">
        <v>956</v>
      </c>
      <c r="AX371" s="1" t="s">
        <v>532</v>
      </c>
      <c r="AY371" s="2" t="s">
        <v>874</v>
      </c>
      <c r="AZ371" s="2" t="s">
        <v>827</v>
      </c>
      <c r="BA371" s="2" t="s">
        <v>872</v>
      </c>
      <c r="BB371" s="1" t="s">
        <v>482</v>
      </c>
      <c r="BC371" s="1" t="s">
        <v>487</v>
      </c>
      <c r="BD371" s="2" t="s">
        <v>873</v>
      </c>
    </row>
    <row r="372" spans="1:56" ht="15.75" customHeight="1">
      <c r="A372" s="2">
        <v>30075</v>
      </c>
      <c r="B372" s="2">
        <v>0</v>
      </c>
      <c r="C372" s="2">
        <v>0</v>
      </c>
      <c r="D372" s="2">
        <v>3</v>
      </c>
      <c r="E372" s="1">
        <v>0</v>
      </c>
      <c r="G372" s="1">
        <v>52</v>
      </c>
      <c r="L372" s="2">
        <v>15</v>
      </c>
      <c r="U372" s="2">
        <v>5</v>
      </c>
      <c r="AU372" s="1">
        <v>30</v>
      </c>
      <c r="AV372" s="2" t="s">
        <v>875</v>
      </c>
      <c r="AW372" s="1" t="s">
        <v>946</v>
      </c>
      <c r="AX372" s="2" t="s">
        <v>876</v>
      </c>
      <c r="AY372" s="2" t="s">
        <v>811</v>
      </c>
      <c r="AZ372" s="2" t="s">
        <v>463</v>
      </c>
      <c r="BA372" s="2" t="s">
        <v>877</v>
      </c>
      <c r="BB372" s="1" t="s">
        <v>167</v>
      </c>
      <c r="BC372" s="1" t="s">
        <v>476</v>
      </c>
      <c r="BD372" s="2" t="s">
        <v>878</v>
      </c>
    </row>
    <row r="373" spans="1:56" ht="15.75" customHeight="1">
      <c r="A373" s="2">
        <v>30075</v>
      </c>
      <c r="B373" s="2">
        <v>0</v>
      </c>
      <c r="C373" s="2">
        <v>0</v>
      </c>
      <c r="D373" s="2">
        <v>3</v>
      </c>
      <c r="E373" s="1">
        <v>1</v>
      </c>
      <c r="G373" s="1">
        <v>55</v>
      </c>
      <c r="L373" s="2">
        <v>15</v>
      </c>
      <c r="U373" s="2">
        <v>5</v>
      </c>
      <c r="AU373" s="1">
        <v>35</v>
      </c>
      <c r="AV373" s="2" t="s">
        <v>875</v>
      </c>
      <c r="AW373" s="1" t="s">
        <v>949</v>
      </c>
      <c r="AX373" s="2" t="s">
        <v>876</v>
      </c>
      <c r="AY373" s="2" t="s">
        <v>811</v>
      </c>
      <c r="AZ373" s="2" t="s">
        <v>463</v>
      </c>
      <c r="BA373" s="2" t="s">
        <v>877</v>
      </c>
      <c r="BB373" s="1" t="s">
        <v>516</v>
      </c>
      <c r="BC373" s="1" t="s">
        <v>476</v>
      </c>
      <c r="BD373" s="2" t="s">
        <v>878</v>
      </c>
    </row>
    <row r="374" spans="1:56" ht="15.75" customHeight="1">
      <c r="A374" s="2">
        <v>30075</v>
      </c>
      <c r="B374" s="2">
        <v>0</v>
      </c>
      <c r="C374" s="2">
        <v>0</v>
      </c>
      <c r="D374" s="2">
        <v>3</v>
      </c>
      <c r="E374" s="1">
        <v>2</v>
      </c>
      <c r="G374" s="1">
        <v>59</v>
      </c>
      <c r="L374" s="2">
        <v>15</v>
      </c>
      <c r="U374" s="2">
        <v>5</v>
      </c>
      <c r="AU374" s="1">
        <v>35</v>
      </c>
      <c r="AV374" s="2" t="s">
        <v>875</v>
      </c>
      <c r="AW374" s="1" t="s">
        <v>952</v>
      </c>
      <c r="AX374" s="2" t="s">
        <v>879</v>
      </c>
      <c r="AY374" s="2" t="s">
        <v>811</v>
      </c>
      <c r="AZ374" s="2" t="s">
        <v>463</v>
      </c>
      <c r="BA374" s="2" t="s">
        <v>877</v>
      </c>
      <c r="BB374" s="1" t="s">
        <v>516</v>
      </c>
      <c r="BC374" s="1" t="s">
        <v>476</v>
      </c>
      <c r="BD374" s="2" t="s">
        <v>878</v>
      </c>
    </row>
    <row r="375" spans="1:56" ht="15.75" customHeight="1">
      <c r="A375" s="2">
        <v>30075</v>
      </c>
      <c r="B375" s="2">
        <v>0</v>
      </c>
      <c r="C375" s="2">
        <v>0</v>
      </c>
      <c r="D375" s="2">
        <v>3</v>
      </c>
      <c r="E375" s="1">
        <v>3</v>
      </c>
      <c r="G375" s="1">
        <v>62</v>
      </c>
      <c r="L375" s="2">
        <v>21</v>
      </c>
      <c r="U375" s="2">
        <v>7</v>
      </c>
      <c r="AU375" s="1">
        <v>35</v>
      </c>
      <c r="AV375" s="2" t="s">
        <v>875</v>
      </c>
      <c r="AW375" s="1" t="s">
        <v>955</v>
      </c>
      <c r="AX375" s="2" t="s">
        <v>879</v>
      </c>
      <c r="AY375" s="2" t="s">
        <v>866</v>
      </c>
      <c r="AZ375" s="2" t="s">
        <v>463</v>
      </c>
      <c r="BA375" s="2" t="s">
        <v>877</v>
      </c>
      <c r="BB375" s="1" t="s">
        <v>516</v>
      </c>
      <c r="BC375" s="1" t="s">
        <v>476</v>
      </c>
      <c r="BD375" s="2" t="s">
        <v>878</v>
      </c>
    </row>
    <row r="376" spans="1:56" ht="15.75" customHeight="1">
      <c r="A376" s="2">
        <v>30075</v>
      </c>
      <c r="B376" s="2">
        <v>0</v>
      </c>
      <c r="C376" s="2">
        <v>0</v>
      </c>
      <c r="D376" s="2">
        <v>3</v>
      </c>
      <c r="E376" s="1">
        <v>4</v>
      </c>
      <c r="G376" s="1">
        <v>65</v>
      </c>
      <c r="L376" s="2">
        <v>21</v>
      </c>
      <c r="U376" s="2">
        <v>7</v>
      </c>
      <c r="AU376" s="1">
        <v>40</v>
      </c>
      <c r="AV376" s="2" t="s">
        <v>875</v>
      </c>
      <c r="AW376" s="1" t="s">
        <v>958</v>
      </c>
      <c r="AX376" s="2" t="s">
        <v>879</v>
      </c>
      <c r="AY376" s="2" t="s">
        <v>866</v>
      </c>
      <c r="AZ376" s="2" t="s">
        <v>880</v>
      </c>
      <c r="BA376" s="2" t="s">
        <v>877</v>
      </c>
      <c r="BB376" s="1" t="s">
        <v>522</v>
      </c>
      <c r="BC376" s="1" t="s">
        <v>476</v>
      </c>
      <c r="BD376" s="2" t="s">
        <v>878</v>
      </c>
    </row>
    <row r="377" spans="1:56" ht="15.75" customHeight="1">
      <c r="A377" s="2">
        <v>30076</v>
      </c>
      <c r="B377" s="2">
        <v>0</v>
      </c>
      <c r="C377" s="2">
        <v>1</v>
      </c>
      <c r="D377" s="2">
        <v>3</v>
      </c>
      <c r="E377" s="1">
        <v>0</v>
      </c>
      <c r="G377" s="1">
        <v>52</v>
      </c>
      <c r="O377" s="1">
        <v>12</v>
      </c>
      <c r="P377" s="1"/>
      <c r="AD377" s="2">
        <v>3</v>
      </c>
      <c r="AS377" s="2">
        <v>8</v>
      </c>
      <c r="AU377" s="1">
        <v>30</v>
      </c>
      <c r="AV377" s="1" t="s">
        <v>881</v>
      </c>
      <c r="AW377" s="1" t="s">
        <v>946</v>
      </c>
      <c r="AX377" s="1" t="s">
        <v>636</v>
      </c>
      <c r="AY377" s="2" t="s">
        <v>661</v>
      </c>
      <c r="AZ377" s="2" t="s">
        <v>455</v>
      </c>
      <c r="BA377" s="2" t="s">
        <v>882</v>
      </c>
      <c r="BB377" s="1" t="s">
        <v>167</v>
      </c>
      <c r="BC377" s="1" t="s">
        <v>487</v>
      </c>
      <c r="BD377" s="2" t="s">
        <v>883</v>
      </c>
    </row>
    <row r="378" spans="1:56" ht="15.75" customHeight="1">
      <c r="A378" s="2">
        <v>30076</v>
      </c>
      <c r="B378" s="2">
        <v>0</v>
      </c>
      <c r="C378" s="2">
        <v>1</v>
      </c>
      <c r="D378" s="2">
        <v>3</v>
      </c>
      <c r="E378" s="1">
        <v>1</v>
      </c>
      <c r="G378" s="1">
        <v>55</v>
      </c>
      <c r="O378" s="1">
        <v>12</v>
      </c>
      <c r="P378" s="1"/>
      <c r="AD378" s="2">
        <v>3</v>
      </c>
      <c r="AS378" s="2">
        <v>8</v>
      </c>
      <c r="AU378" s="1">
        <v>35</v>
      </c>
      <c r="AV378" s="1" t="s">
        <v>881</v>
      </c>
      <c r="AW378" s="1" t="s">
        <v>949</v>
      </c>
      <c r="AX378" s="1" t="s">
        <v>636</v>
      </c>
      <c r="AY378" s="2" t="s">
        <v>661</v>
      </c>
      <c r="AZ378" s="2" t="s">
        <v>455</v>
      </c>
      <c r="BA378" s="2" t="s">
        <v>882</v>
      </c>
      <c r="BB378" s="1" t="s">
        <v>516</v>
      </c>
      <c r="BC378" s="1" t="s">
        <v>487</v>
      </c>
      <c r="BD378" s="2" t="s">
        <v>883</v>
      </c>
    </row>
    <row r="379" spans="1:56" ht="15.75" customHeight="1">
      <c r="A379" s="2">
        <v>30076</v>
      </c>
      <c r="B379" s="2">
        <v>0</v>
      </c>
      <c r="C379" s="2">
        <v>1</v>
      </c>
      <c r="D379" s="2">
        <v>3</v>
      </c>
      <c r="E379" s="1">
        <v>2</v>
      </c>
      <c r="G379" s="1">
        <v>59</v>
      </c>
      <c r="O379" s="1">
        <v>17</v>
      </c>
      <c r="P379" s="1"/>
      <c r="AD379" s="2">
        <v>3</v>
      </c>
      <c r="AS379" s="2">
        <v>8</v>
      </c>
      <c r="AU379" s="1">
        <v>35</v>
      </c>
      <c r="AV379" s="1" t="s">
        <v>881</v>
      </c>
      <c r="AW379" s="1" t="s">
        <v>952</v>
      </c>
      <c r="AX379" s="1" t="s">
        <v>639</v>
      </c>
      <c r="AY379" s="2" t="s">
        <v>661</v>
      </c>
      <c r="AZ379" s="2" t="s">
        <v>455</v>
      </c>
      <c r="BA379" s="2" t="s">
        <v>882</v>
      </c>
      <c r="BB379" s="1" t="s">
        <v>516</v>
      </c>
      <c r="BC379" s="1" t="s">
        <v>487</v>
      </c>
      <c r="BD379" s="2" t="s">
        <v>883</v>
      </c>
    </row>
    <row r="380" spans="1:56" ht="15.75" customHeight="1">
      <c r="A380" s="2">
        <v>30076</v>
      </c>
      <c r="B380" s="2">
        <v>0</v>
      </c>
      <c r="C380" s="2">
        <v>1</v>
      </c>
      <c r="D380" s="2">
        <v>3</v>
      </c>
      <c r="E380" s="1">
        <v>3</v>
      </c>
      <c r="G380" s="1">
        <v>62</v>
      </c>
      <c r="O380" s="1">
        <v>17</v>
      </c>
      <c r="P380" s="1"/>
      <c r="AD380" s="2">
        <v>4</v>
      </c>
      <c r="AS380" s="2">
        <v>8</v>
      </c>
      <c r="AU380" s="1">
        <v>35</v>
      </c>
      <c r="AV380" s="1" t="s">
        <v>881</v>
      </c>
      <c r="AW380" s="1" t="s">
        <v>955</v>
      </c>
      <c r="AX380" s="1" t="s">
        <v>639</v>
      </c>
      <c r="AY380" s="2" t="s">
        <v>664</v>
      </c>
      <c r="AZ380" s="2" t="s">
        <v>455</v>
      </c>
      <c r="BA380" s="2" t="s">
        <v>882</v>
      </c>
      <c r="BB380" s="1" t="s">
        <v>516</v>
      </c>
      <c r="BC380" s="1" t="s">
        <v>487</v>
      </c>
      <c r="BD380" s="2" t="s">
        <v>883</v>
      </c>
    </row>
    <row r="381" spans="1:56" ht="15.75" customHeight="1">
      <c r="A381" s="2">
        <v>30076</v>
      </c>
      <c r="B381" s="2">
        <v>0</v>
      </c>
      <c r="C381" s="2">
        <v>1</v>
      </c>
      <c r="D381" s="2">
        <v>3</v>
      </c>
      <c r="E381" s="1">
        <v>4</v>
      </c>
      <c r="G381" s="1">
        <v>65</v>
      </c>
      <c r="O381" s="1">
        <v>17</v>
      </c>
      <c r="P381" s="1"/>
      <c r="AD381" s="2">
        <v>4</v>
      </c>
      <c r="AS381" s="2">
        <v>11</v>
      </c>
      <c r="AU381" s="1">
        <v>40</v>
      </c>
      <c r="AV381" s="1" t="s">
        <v>881</v>
      </c>
      <c r="AW381" s="1" t="s">
        <v>958</v>
      </c>
      <c r="AX381" s="1" t="s">
        <v>639</v>
      </c>
      <c r="AY381" s="2" t="s">
        <v>664</v>
      </c>
      <c r="AZ381" s="2" t="s">
        <v>884</v>
      </c>
      <c r="BA381" s="2" t="s">
        <v>882</v>
      </c>
      <c r="BB381" s="1" t="s">
        <v>522</v>
      </c>
      <c r="BC381" s="1" t="s">
        <v>487</v>
      </c>
      <c r="BD381" s="2" t="s">
        <v>883</v>
      </c>
    </row>
    <row r="382" spans="1:56" ht="15.75" customHeight="1">
      <c r="A382" s="2">
        <v>30077</v>
      </c>
      <c r="B382" s="2">
        <v>0</v>
      </c>
      <c r="C382" s="2">
        <v>2</v>
      </c>
      <c r="D382" s="2">
        <v>3</v>
      </c>
      <c r="E382" s="1">
        <v>0</v>
      </c>
      <c r="I382" s="1">
        <v>6.5000000000000002E-2</v>
      </c>
      <c r="K382" s="1">
        <v>13</v>
      </c>
      <c r="O382" s="1">
        <v>12</v>
      </c>
      <c r="P382" s="1"/>
      <c r="AL382" s="1">
        <v>8</v>
      </c>
      <c r="AU382" s="1">
        <v>30</v>
      </c>
      <c r="AV382" s="2" t="s">
        <v>885</v>
      </c>
      <c r="AW382" s="1" t="s">
        <v>512</v>
      </c>
      <c r="AX382" s="1" t="s">
        <v>636</v>
      </c>
      <c r="AY382" s="1" t="s">
        <v>166</v>
      </c>
      <c r="AZ382" s="2" t="s">
        <v>390</v>
      </c>
      <c r="BA382" s="2" t="s">
        <v>886</v>
      </c>
      <c r="BB382" s="1" t="s">
        <v>167</v>
      </c>
      <c r="BC382" s="1" t="s">
        <v>487</v>
      </c>
      <c r="BD382" s="2" t="s">
        <v>887</v>
      </c>
    </row>
    <row r="383" spans="1:56" ht="15.75" customHeight="1">
      <c r="A383" s="2">
        <v>30077</v>
      </c>
      <c r="B383" s="2">
        <v>0</v>
      </c>
      <c r="C383" s="2">
        <v>2</v>
      </c>
      <c r="D383" s="2">
        <v>3</v>
      </c>
      <c r="E383" s="1">
        <v>1</v>
      </c>
      <c r="I383" s="1">
        <v>7.0000000000000007E-2</v>
      </c>
      <c r="K383" s="1">
        <v>13</v>
      </c>
      <c r="O383" s="1">
        <v>12</v>
      </c>
      <c r="P383" s="1"/>
      <c r="AL383" s="1">
        <v>8</v>
      </c>
      <c r="AU383" s="1">
        <v>35</v>
      </c>
      <c r="AV383" s="2" t="s">
        <v>885</v>
      </c>
      <c r="AW383" s="1" t="s">
        <v>515</v>
      </c>
      <c r="AX383" s="1" t="s">
        <v>636</v>
      </c>
      <c r="AY383" s="1" t="s">
        <v>166</v>
      </c>
      <c r="AZ383" s="2" t="s">
        <v>390</v>
      </c>
      <c r="BA383" s="2" t="s">
        <v>886</v>
      </c>
      <c r="BB383" s="1" t="s">
        <v>516</v>
      </c>
      <c r="BC383" s="1" t="s">
        <v>487</v>
      </c>
      <c r="BD383" s="2" t="s">
        <v>887</v>
      </c>
    </row>
    <row r="384" spans="1:56" ht="15.75" customHeight="1">
      <c r="A384" s="2">
        <v>30077</v>
      </c>
      <c r="B384" s="2">
        <v>0</v>
      </c>
      <c r="C384" s="2">
        <v>2</v>
      </c>
      <c r="D384" s="2">
        <v>3</v>
      </c>
      <c r="E384" s="1">
        <v>2</v>
      </c>
      <c r="I384" s="1">
        <v>7.4999999999999997E-2</v>
      </c>
      <c r="K384" s="1">
        <v>13</v>
      </c>
      <c r="O384" s="1">
        <v>17</v>
      </c>
      <c r="P384" s="1"/>
      <c r="AL384" s="1">
        <v>8</v>
      </c>
      <c r="AU384" s="1">
        <v>35</v>
      </c>
      <c r="AV384" s="2" t="s">
        <v>885</v>
      </c>
      <c r="AW384" s="1" t="s">
        <v>517</v>
      </c>
      <c r="AX384" s="1" t="s">
        <v>639</v>
      </c>
      <c r="AY384" s="1" t="s">
        <v>166</v>
      </c>
      <c r="AZ384" s="2" t="s">
        <v>390</v>
      </c>
      <c r="BA384" s="2" t="s">
        <v>886</v>
      </c>
      <c r="BB384" s="1" t="s">
        <v>516</v>
      </c>
      <c r="BC384" s="1" t="s">
        <v>487</v>
      </c>
      <c r="BD384" s="2" t="s">
        <v>887</v>
      </c>
    </row>
    <row r="385" spans="1:56" ht="15.75" customHeight="1">
      <c r="A385" s="2">
        <v>30077</v>
      </c>
      <c r="B385" s="2">
        <v>0</v>
      </c>
      <c r="C385" s="2">
        <v>2</v>
      </c>
      <c r="D385" s="2">
        <v>3</v>
      </c>
      <c r="E385" s="1">
        <v>3</v>
      </c>
      <c r="I385" s="1">
        <v>0.08</v>
      </c>
      <c r="K385" s="1">
        <v>17</v>
      </c>
      <c r="O385" s="1">
        <v>17</v>
      </c>
      <c r="P385" s="1"/>
      <c r="AL385" s="1">
        <v>8</v>
      </c>
      <c r="AU385" s="1">
        <v>35</v>
      </c>
      <c r="AV385" s="2" t="s">
        <v>885</v>
      </c>
      <c r="AW385" s="1" t="s">
        <v>518</v>
      </c>
      <c r="AX385" s="1" t="s">
        <v>639</v>
      </c>
      <c r="AY385" s="1" t="s">
        <v>545</v>
      </c>
      <c r="AZ385" s="2" t="s">
        <v>390</v>
      </c>
      <c r="BA385" s="2" t="s">
        <v>886</v>
      </c>
      <c r="BB385" s="1" t="s">
        <v>516</v>
      </c>
      <c r="BC385" s="1" t="s">
        <v>487</v>
      </c>
      <c r="BD385" s="2" t="s">
        <v>887</v>
      </c>
    </row>
    <row r="386" spans="1:56" ht="15.75" customHeight="1">
      <c r="A386" s="2">
        <v>30077</v>
      </c>
      <c r="B386" s="2">
        <v>0</v>
      </c>
      <c r="C386" s="2">
        <v>2</v>
      </c>
      <c r="D386" s="2">
        <v>3</v>
      </c>
      <c r="E386" s="1">
        <v>4</v>
      </c>
      <c r="I386" s="1">
        <v>8.5000000000000006E-2</v>
      </c>
      <c r="K386" s="1">
        <v>17</v>
      </c>
      <c r="O386" s="1">
        <v>17</v>
      </c>
      <c r="P386" s="1"/>
      <c r="AL386" s="1">
        <v>11</v>
      </c>
      <c r="AU386" s="1">
        <v>40</v>
      </c>
      <c r="AV386" s="2" t="s">
        <v>885</v>
      </c>
      <c r="AW386" s="1" t="s">
        <v>520</v>
      </c>
      <c r="AX386" s="1" t="s">
        <v>639</v>
      </c>
      <c r="AY386" s="1" t="s">
        <v>545</v>
      </c>
      <c r="AZ386" s="2" t="s">
        <v>846</v>
      </c>
      <c r="BA386" s="2" t="s">
        <v>886</v>
      </c>
      <c r="BB386" s="1" t="s">
        <v>522</v>
      </c>
      <c r="BC386" s="1" t="s">
        <v>487</v>
      </c>
      <c r="BD386" s="2" t="s">
        <v>887</v>
      </c>
    </row>
    <row r="387" spans="1:56" ht="15.75" customHeight="1">
      <c r="A387" s="2">
        <v>30078</v>
      </c>
      <c r="B387" s="2">
        <v>2</v>
      </c>
      <c r="C387" s="2">
        <v>1</v>
      </c>
      <c r="D387" s="2">
        <v>3</v>
      </c>
      <c r="E387" s="1">
        <v>0</v>
      </c>
      <c r="G387" s="1">
        <v>52</v>
      </c>
      <c r="S387" s="2">
        <v>14</v>
      </c>
      <c r="T387" s="2"/>
      <c r="U387" s="2">
        <v>5</v>
      </c>
      <c r="AA387" s="2">
        <v>5</v>
      </c>
      <c r="AU387" s="1">
        <v>30</v>
      </c>
      <c r="AV387" s="2" t="s">
        <v>888</v>
      </c>
      <c r="AW387" s="1" t="s">
        <v>944</v>
      </c>
      <c r="AX387" s="2" t="s">
        <v>937</v>
      </c>
      <c r="AY387" s="2" t="s">
        <v>889</v>
      </c>
      <c r="AZ387" s="2" t="s">
        <v>890</v>
      </c>
      <c r="BA387" s="2" t="s">
        <v>891</v>
      </c>
      <c r="BB387" s="1" t="s">
        <v>152</v>
      </c>
      <c r="BC387" s="1" t="s">
        <v>487</v>
      </c>
      <c r="BD387" s="2" t="s">
        <v>892</v>
      </c>
    </row>
    <row r="388" spans="1:56" ht="15.75" customHeight="1">
      <c r="A388" s="2">
        <v>30078</v>
      </c>
      <c r="B388" s="2">
        <v>2</v>
      </c>
      <c r="C388" s="2">
        <v>1</v>
      </c>
      <c r="D388" s="2">
        <v>3</v>
      </c>
      <c r="E388" s="1">
        <v>1</v>
      </c>
      <c r="G388" s="1">
        <v>55</v>
      </c>
      <c r="S388" s="2">
        <v>14</v>
      </c>
      <c r="T388" s="2"/>
      <c r="U388" s="2">
        <v>5</v>
      </c>
      <c r="AA388" s="2">
        <v>5</v>
      </c>
      <c r="AU388" s="1">
        <v>35</v>
      </c>
      <c r="AV388" s="2" t="s">
        <v>888</v>
      </c>
      <c r="AW388" s="1" t="s">
        <v>947</v>
      </c>
      <c r="AX388" s="2" t="s">
        <v>937</v>
      </c>
      <c r="AY388" s="2" t="s">
        <v>889</v>
      </c>
      <c r="AZ388" s="2" t="s">
        <v>890</v>
      </c>
      <c r="BA388" s="2" t="s">
        <v>891</v>
      </c>
      <c r="BB388" s="1" t="s">
        <v>478</v>
      </c>
      <c r="BC388" s="1" t="s">
        <v>487</v>
      </c>
      <c r="BD388" s="2" t="s">
        <v>892</v>
      </c>
    </row>
    <row r="389" spans="1:56" ht="15.75" customHeight="1">
      <c r="A389" s="2">
        <v>30078</v>
      </c>
      <c r="B389" s="2">
        <v>2</v>
      </c>
      <c r="C389" s="2">
        <v>1</v>
      </c>
      <c r="D389" s="2">
        <v>3</v>
      </c>
      <c r="E389" s="1">
        <v>2</v>
      </c>
      <c r="G389" s="1">
        <v>59</v>
      </c>
      <c r="S389" s="2">
        <v>18</v>
      </c>
      <c r="T389" s="2"/>
      <c r="U389" s="2">
        <v>5</v>
      </c>
      <c r="AA389" s="2">
        <v>5</v>
      </c>
      <c r="AU389" s="1">
        <v>35</v>
      </c>
      <c r="AV389" s="2" t="s">
        <v>888</v>
      </c>
      <c r="AW389" s="1" t="s">
        <v>950</v>
      </c>
      <c r="AX389" s="2" t="s">
        <v>962</v>
      </c>
      <c r="AY389" s="2" t="s">
        <v>889</v>
      </c>
      <c r="AZ389" s="2" t="s">
        <v>890</v>
      </c>
      <c r="BA389" s="2" t="s">
        <v>891</v>
      </c>
      <c r="BB389" s="1" t="s">
        <v>478</v>
      </c>
      <c r="BC389" s="1" t="s">
        <v>487</v>
      </c>
      <c r="BD389" s="2" t="s">
        <v>892</v>
      </c>
    </row>
    <row r="390" spans="1:56" ht="15.75" customHeight="1">
      <c r="A390" s="2">
        <v>30078</v>
      </c>
      <c r="B390" s="2">
        <v>2</v>
      </c>
      <c r="C390" s="2">
        <v>1</v>
      </c>
      <c r="D390" s="2">
        <v>3</v>
      </c>
      <c r="E390" s="1">
        <v>3</v>
      </c>
      <c r="G390" s="1">
        <v>62</v>
      </c>
      <c r="S390" s="2">
        <v>18</v>
      </c>
      <c r="T390" s="2"/>
      <c r="U390" s="2">
        <v>5</v>
      </c>
      <c r="AA390" s="2">
        <v>6</v>
      </c>
      <c r="AU390" s="1">
        <v>35</v>
      </c>
      <c r="AV390" s="2" t="s">
        <v>888</v>
      </c>
      <c r="AW390" s="1" t="s">
        <v>953</v>
      </c>
      <c r="AX390" s="2" t="s">
        <v>962</v>
      </c>
      <c r="AY390" s="2" t="s">
        <v>893</v>
      </c>
      <c r="AZ390" s="2" t="s">
        <v>890</v>
      </c>
      <c r="BA390" s="2" t="s">
        <v>891</v>
      </c>
      <c r="BB390" s="1" t="s">
        <v>478</v>
      </c>
      <c r="BC390" s="1" t="s">
        <v>487</v>
      </c>
      <c r="BD390" s="2" t="s">
        <v>892</v>
      </c>
    </row>
    <row r="391" spans="1:56" ht="15.75" customHeight="1">
      <c r="A391" s="2">
        <v>30078</v>
      </c>
      <c r="B391" s="2">
        <v>2</v>
      </c>
      <c r="C391" s="2">
        <v>1</v>
      </c>
      <c r="D391" s="2">
        <v>3</v>
      </c>
      <c r="E391" s="1">
        <v>4</v>
      </c>
      <c r="G391" s="1">
        <v>65</v>
      </c>
      <c r="S391" s="2">
        <v>18</v>
      </c>
      <c r="T391" s="2"/>
      <c r="U391" s="2">
        <v>7</v>
      </c>
      <c r="AA391" s="2">
        <v>6</v>
      </c>
      <c r="AU391" s="1">
        <v>40</v>
      </c>
      <c r="AV391" s="2" t="s">
        <v>888</v>
      </c>
      <c r="AW391" s="1" t="s">
        <v>956</v>
      </c>
      <c r="AX391" s="2" t="s">
        <v>962</v>
      </c>
      <c r="AY391" s="2" t="s">
        <v>893</v>
      </c>
      <c r="AZ391" s="2" t="s">
        <v>894</v>
      </c>
      <c r="BA391" s="2" t="s">
        <v>891</v>
      </c>
      <c r="BB391" s="1" t="s">
        <v>482</v>
      </c>
      <c r="BC391" s="1" t="s">
        <v>487</v>
      </c>
      <c r="BD391" s="2" t="s">
        <v>892</v>
      </c>
    </row>
    <row r="392" spans="1:56" ht="15.75" customHeight="1">
      <c r="A392" s="2">
        <v>30079</v>
      </c>
      <c r="B392" s="2">
        <v>0</v>
      </c>
      <c r="C392" s="2">
        <v>1</v>
      </c>
      <c r="D392" s="2">
        <v>3</v>
      </c>
      <c r="E392" s="1">
        <v>0</v>
      </c>
      <c r="F392" s="1">
        <v>21</v>
      </c>
      <c r="G392" s="1">
        <v>52</v>
      </c>
      <c r="X392" s="2">
        <v>7</v>
      </c>
      <c r="AR392" s="2">
        <v>11</v>
      </c>
      <c r="AU392" s="1">
        <v>30</v>
      </c>
      <c r="AV392" s="2" t="s">
        <v>895</v>
      </c>
      <c r="AW392" s="1" t="s">
        <v>946</v>
      </c>
      <c r="AX392" s="1" t="s">
        <v>161</v>
      </c>
      <c r="AY392" s="2" t="s">
        <v>468</v>
      </c>
      <c r="AZ392" s="2" t="s">
        <v>810</v>
      </c>
      <c r="BA392" s="2" t="s">
        <v>896</v>
      </c>
      <c r="BB392" s="1" t="s">
        <v>167</v>
      </c>
      <c r="BC392" s="1" t="s">
        <v>487</v>
      </c>
      <c r="BD392" s="2" t="s">
        <v>897</v>
      </c>
    </row>
    <row r="393" spans="1:56" ht="15.75" customHeight="1">
      <c r="A393" s="2">
        <v>30079</v>
      </c>
      <c r="B393" s="2">
        <v>0</v>
      </c>
      <c r="C393" s="2">
        <v>1</v>
      </c>
      <c r="D393" s="2">
        <v>3</v>
      </c>
      <c r="E393" s="1">
        <v>1</v>
      </c>
      <c r="F393" s="1">
        <v>21</v>
      </c>
      <c r="G393" s="1">
        <v>55</v>
      </c>
      <c r="X393" s="2">
        <v>7</v>
      </c>
      <c r="AR393" s="2">
        <v>11</v>
      </c>
      <c r="AU393" s="1">
        <v>35</v>
      </c>
      <c r="AV393" s="2" t="s">
        <v>895</v>
      </c>
      <c r="AW393" s="1" t="s">
        <v>949</v>
      </c>
      <c r="AX393" s="1" t="s">
        <v>161</v>
      </c>
      <c r="AY393" s="2" t="s">
        <v>468</v>
      </c>
      <c r="AZ393" s="2" t="s">
        <v>810</v>
      </c>
      <c r="BA393" s="2" t="s">
        <v>896</v>
      </c>
      <c r="BB393" s="1" t="s">
        <v>516</v>
      </c>
      <c r="BC393" s="1" t="s">
        <v>487</v>
      </c>
      <c r="BD393" s="2" t="s">
        <v>897</v>
      </c>
    </row>
    <row r="394" spans="1:56" ht="15.75" customHeight="1">
      <c r="A394" s="2">
        <v>30079</v>
      </c>
      <c r="B394" s="2">
        <v>0</v>
      </c>
      <c r="C394" s="2">
        <v>1</v>
      </c>
      <c r="D394" s="2">
        <v>3</v>
      </c>
      <c r="E394" s="1">
        <v>2</v>
      </c>
      <c r="F394" s="1">
        <v>28</v>
      </c>
      <c r="G394" s="1">
        <v>59</v>
      </c>
      <c r="X394" s="2">
        <v>7</v>
      </c>
      <c r="AR394" s="2">
        <v>11</v>
      </c>
      <c r="AU394" s="1">
        <v>35</v>
      </c>
      <c r="AV394" s="2" t="s">
        <v>895</v>
      </c>
      <c r="AW394" s="1" t="s">
        <v>952</v>
      </c>
      <c r="AX394" s="1" t="s">
        <v>544</v>
      </c>
      <c r="AY394" s="2" t="s">
        <v>468</v>
      </c>
      <c r="AZ394" s="2" t="s">
        <v>810</v>
      </c>
      <c r="BA394" s="2" t="s">
        <v>896</v>
      </c>
      <c r="BB394" s="1" t="s">
        <v>516</v>
      </c>
      <c r="BC394" s="1" t="s">
        <v>487</v>
      </c>
      <c r="BD394" s="2" t="s">
        <v>897</v>
      </c>
    </row>
    <row r="395" spans="1:56" ht="15.75" customHeight="1">
      <c r="A395" s="2">
        <v>30079</v>
      </c>
      <c r="B395" s="2">
        <v>0</v>
      </c>
      <c r="C395" s="2">
        <v>1</v>
      </c>
      <c r="D395" s="2">
        <v>3</v>
      </c>
      <c r="E395" s="1">
        <v>3</v>
      </c>
      <c r="F395" s="1">
        <v>28</v>
      </c>
      <c r="G395" s="1">
        <v>62</v>
      </c>
      <c r="X395" s="2">
        <v>7</v>
      </c>
      <c r="AR395" s="2">
        <v>15</v>
      </c>
      <c r="AU395" s="1">
        <v>35</v>
      </c>
      <c r="AV395" s="2" t="s">
        <v>895</v>
      </c>
      <c r="AW395" s="1" t="s">
        <v>955</v>
      </c>
      <c r="AX395" s="1" t="s">
        <v>544</v>
      </c>
      <c r="AY395" s="2" t="s">
        <v>898</v>
      </c>
      <c r="AZ395" s="2" t="s">
        <v>810</v>
      </c>
      <c r="BA395" s="2" t="s">
        <v>896</v>
      </c>
      <c r="BB395" s="1" t="s">
        <v>516</v>
      </c>
      <c r="BC395" s="1" t="s">
        <v>487</v>
      </c>
      <c r="BD395" s="2" t="s">
        <v>897</v>
      </c>
    </row>
    <row r="396" spans="1:56" ht="15.75" customHeight="1">
      <c r="A396" s="2">
        <v>30079</v>
      </c>
      <c r="B396" s="2">
        <v>0</v>
      </c>
      <c r="C396" s="2">
        <v>1</v>
      </c>
      <c r="D396" s="2">
        <v>3</v>
      </c>
      <c r="E396" s="1">
        <v>4</v>
      </c>
      <c r="F396" s="1">
        <v>28</v>
      </c>
      <c r="G396" s="1">
        <v>65</v>
      </c>
      <c r="X396" s="2">
        <v>9</v>
      </c>
      <c r="AR396" s="2">
        <v>15</v>
      </c>
      <c r="AU396" s="1">
        <v>40</v>
      </c>
      <c r="AV396" s="2" t="s">
        <v>895</v>
      </c>
      <c r="AW396" s="1" t="s">
        <v>958</v>
      </c>
      <c r="AX396" s="1" t="s">
        <v>544</v>
      </c>
      <c r="AY396" s="2" t="s">
        <v>898</v>
      </c>
      <c r="AZ396" s="2" t="s">
        <v>899</v>
      </c>
      <c r="BA396" s="2" t="s">
        <v>896</v>
      </c>
      <c r="BB396" s="1" t="s">
        <v>522</v>
      </c>
      <c r="BC396" s="1" t="s">
        <v>487</v>
      </c>
      <c r="BD396" s="2" t="s">
        <v>897</v>
      </c>
    </row>
    <row r="397" spans="1:56" ht="15.75" customHeight="1">
      <c r="A397" s="2">
        <v>30080</v>
      </c>
      <c r="B397" s="2">
        <v>0</v>
      </c>
      <c r="C397" s="2">
        <v>0</v>
      </c>
      <c r="D397" s="2">
        <v>3</v>
      </c>
      <c r="E397" s="1">
        <v>0</v>
      </c>
      <c r="F397" s="2">
        <v>14</v>
      </c>
      <c r="G397" s="1">
        <v>52</v>
      </c>
      <c r="AA397" s="2">
        <v>3</v>
      </c>
      <c r="AU397" s="1">
        <v>30</v>
      </c>
      <c r="AV397" s="1" t="s">
        <v>900</v>
      </c>
      <c r="AW397" s="1" t="s">
        <v>946</v>
      </c>
      <c r="AX397" s="2" t="s">
        <v>679</v>
      </c>
      <c r="AY397" s="2" t="s">
        <v>435</v>
      </c>
      <c r="AZ397" s="2" t="s">
        <v>685</v>
      </c>
      <c r="BA397" s="2" t="s">
        <v>901</v>
      </c>
      <c r="BB397" s="1" t="s">
        <v>167</v>
      </c>
      <c r="BC397" s="1" t="s">
        <v>476</v>
      </c>
      <c r="BD397" s="2" t="s">
        <v>902</v>
      </c>
    </row>
    <row r="398" spans="1:56" ht="15.75" customHeight="1">
      <c r="A398" s="2">
        <v>30080</v>
      </c>
      <c r="B398" s="2">
        <v>0</v>
      </c>
      <c r="C398" s="2">
        <v>0</v>
      </c>
      <c r="D398" s="2">
        <v>3</v>
      </c>
      <c r="E398" s="1">
        <v>1</v>
      </c>
      <c r="F398" s="2">
        <v>14</v>
      </c>
      <c r="G398" s="1">
        <v>55</v>
      </c>
      <c r="AA398" s="2">
        <v>3</v>
      </c>
      <c r="AU398" s="1">
        <v>35</v>
      </c>
      <c r="AV398" s="1" t="s">
        <v>900</v>
      </c>
      <c r="AW398" s="1" t="s">
        <v>949</v>
      </c>
      <c r="AX398" s="2" t="s">
        <v>679</v>
      </c>
      <c r="AY398" s="2" t="s">
        <v>435</v>
      </c>
      <c r="AZ398" s="2" t="s">
        <v>685</v>
      </c>
      <c r="BA398" s="2" t="s">
        <v>901</v>
      </c>
      <c r="BB398" s="1" t="s">
        <v>516</v>
      </c>
      <c r="BC398" s="1" t="s">
        <v>476</v>
      </c>
      <c r="BD398" s="2" t="s">
        <v>902</v>
      </c>
    </row>
    <row r="399" spans="1:56" ht="15.75" customHeight="1">
      <c r="A399" s="2">
        <v>30080</v>
      </c>
      <c r="B399" s="2">
        <v>0</v>
      </c>
      <c r="C399" s="2">
        <v>0</v>
      </c>
      <c r="D399" s="2">
        <v>3</v>
      </c>
      <c r="E399" s="1">
        <v>2</v>
      </c>
      <c r="F399" s="2">
        <v>21</v>
      </c>
      <c r="G399" s="1">
        <v>59</v>
      </c>
      <c r="AA399" s="2">
        <v>3</v>
      </c>
      <c r="AU399" s="1">
        <v>35</v>
      </c>
      <c r="AV399" s="1" t="s">
        <v>900</v>
      </c>
      <c r="AW399" s="1" t="s">
        <v>952</v>
      </c>
      <c r="AX399" s="1" t="s">
        <v>161</v>
      </c>
      <c r="AY399" s="2" t="s">
        <v>435</v>
      </c>
      <c r="AZ399" s="2" t="s">
        <v>685</v>
      </c>
      <c r="BA399" s="2" t="s">
        <v>901</v>
      </c>
      <c r="BB399" s="1" t="s">
        <v>516</v>
      </c>
      <c r="BC399" s="1" t="s">
        <v>476</v>
      </c>
      <c r="BD399" s="2" t="s">
        <v>902</v>
      </c>
    </row>
    <row r="400" spans="1:56" ht="15.75" customHeight="1">
      <c r="A400" s="2">
        <v>30080</v>
      </c>
      <c r="B400" s="2">
        <v>0</v>
      </c>
      <c r="C400" s="2">
        <v>0</v>
      </c>
      <c r="D400" s="2">
        <v>3</v>
      </c>
      <c r="E400" s="1">
        <v>3</v>
      </c>
      <c r="F400" s="2">
        <v>21</v>
      </c>
      <c r="G400" s="1">
        <v>62</v>
      </c>
      <c r="AA400" s="2">
        <v>3</v>
      </c>
      <c r="AU400" s="1">
        <v>35</v>
      </c>
      <c r="AV400" s="1" t="s">
        <v>900</v>
      </c>
      <c r="AW400" s="1" t="s">
        <v>955</v>
      </c>
      <c r="AX400" s="1" t="s">
        <v>161</v>
      </c>
      <c r="AY400" s="2" t="s">
        <v>435</v>
      </c>
      <c r="AZ400" s="2" t="s">
        <v>688</v>
      </c>
      <c r="BA400" s="2" t="s">
        <v>901</v>
      </c>
      <c r="BB400" s="1" t="s">
        <v>516</v>
      </c>
      <c r="BC400" s="1" t="s">
        <v>476</v>
      </c>
      <c r="BD400" s="2" t="s">
        <v>902</v>
      </c>
    </row>
    <row r="401" spans="1:56" ht="15.75" customHeight="1">
      <c r="A401" s="2">
        <v>30080</v>
      </c>
      <c r="B401" s="2">
        <v>0</v>
      </c>
      <c r="C401" s="2">
        <v>0</v>
      </c>
      <c r="D401" s="2">
        <v>3</v>
      </c>
      <c r="E401" s="1">
        <v>4</v>
      </c>
      <c r="F401" s="2">
        <v>21</v>
      </c>
      <c r="G401" s="1">
        <v>65</v>
      </c>
      <c r="AA401" s="2">
        <v>5</v>
      </c>
      <c r="AU401" s="1">
        <v>40</v>
      </c>
      <c r="AV401" s="1" t="s">
        <v>900</v>
      </c>
      <c r="AW401" s="1" t="s">
        <v>958</v>
      </c>
      <c r="AX401" s="1" t="s">
        <v>161</v>
      </c>
      <c r="AY401" s="2" t="s">
        <v>439</v>
      </c>
      <c r="AZ401" s="2" t="s">
        <v>688</v>
      </c>
      <c r="BA401" s="2" t="s">
        <v>901</v>
      </c>
      <c r="BB401" s="1" t="s">
        <v>522</v>
      </c>
      <c r="BC401" s="1" t="s">
        <v>476</v>
      </c>
      <c r="BD401" s="2" t="s">
        <v>902</v>
      </c>
    </row>
    <row r="402" spans="1:56" ht="15.75" customHeight="1">
      <c r="A402" s="2">
        <v>30081</v>
      </c>
      <c r="B402" s="2">
        <v>1</v>
      </c>
      <c r="C402" s="2">
        <v>2</v>
      </c>
      <c r="D402" s="2">
        <v>3</v>
      </c>
      <c r="E402" s="1">
        <v>0</v>
      </c>
      <c r="F402" s="1">
        <v>21</v>
      </c>
      <c r="G402" s="1">
        <v>52</v>
      </c>
      <c r="K402" s="1">
        <v>13</v>
      </c>
      <c r="AL402" s="1">
        <v>8</v>
      </c>
      <c r="AU402" s="1">
        <v>30</v>
      </c>
      <c r="AV402" s="2" t="s">
        <v>903</v>
      </c>
      <c r="AW402" s="1" t="s">
        <v>945</v>
      </c>
      <c r="AX402" s="1" t="s">
        <v>220</v>
      </c>
      <c r="AY402" s="1" t="s">
        <v>221</v>
      </c>
      <c r="AZ402" s="2" t="s">
        <v>320</v>
      </c>
      <c r="BA402" s="2" t="s">
        <v>904</v>
      </c>
      <c r="BB402" s="1" t="s">
        <v>214</v>
      </c>
      <c r="BC402" s="1" t="s">
        <v>487</v>
      </c>
      <c r="BD402" s="11" t="s">
        <v>905</v>
      </c>
    </row>
    <row r="403" spans="1:56" ht="15.75" customHeight="1">
      <c r="A403" s="2">
        <v>30081</v>
      </c>
      <c r="B403" s="2">
        <v>1</v>
      </c>
      <c r="C403" s="2">
        <v>2</v>
      </c>
      <c r="D403" s="2">
        <v>3</v>
      </c>
      <c r="E403" s="1">
        <v>1</v>
      </c>
      <c r="F403" s="1">
        <v>21</v>
      </c>
      <c r="G403" s="1">
        <v>55</v>
      </c>
      <c r="K403" s="1">
        <v>13</v>
      </c>
      <c r="AL403" s="1">
        <v>8</v>
      </c>
      <c r="AU403" s="1">
        <v>35</v>
      </c>
      <c r="AV403" s="2" t="s">
        <v>903</v>
      </c>
      <c r="AW403" s="1" t="s">
        <v>948</v>
      </c>
      <c r="AX403" s="1" t="s">
        <v>220</v>
      </c>
      <c r="AY403" s="1" t="s">
        <v>221</v>
      </c>
      <c r="AZ403" s="2" t="s">
        <v>320</v>
      </c>
      <c r="BA403" s="2" t="s">
        <v>904</v>
      </c>
      <c r="BB403" s="1" t="s">
        <v>503</v>
      </c>
      <c r="BC403" s="1" t="s">
        <v>487</v>
      </c>
      <c r="BD403" s="2" t="s">
        <v>905</v>
      </c>
    </row>
    <row r="404" spans="1:56" ht="15.75" customHeight="1">
      <c r="A404" s="2">
        <v>30081</v>
      </c>
      <c r="B404" s="2">
        <v>1</v>
      </c>
      <c r="C404" s="2">
        <v>2</v>
      </c>
      <c r="D404" s="2">
        <v>3</v>
      </c>
      <c r="E404" s="1">
        <v>2</v>
      </c>
      <c r="F404" s="1">
        <v>28</v>
      </c>
      <c r="G404" s="1">
        <v>59</v>
      </c>
      <c r="K404" s="1">
        <v>13</v>
      </c>
      <c r="AL404" s="1">
        <v>8</v>
      </c>
      <c r="AU404" s="1">
        <v>35</v>
      </c>
      <c r="AV404" s="2" t="s">
        <v>903</v>
      </c>
      <c r="AW404" s="1" t="s">
        <v>951</v>
      </c>
      <c r="AX404" s="1" t="s">
        <v>537</v>
      </c>
      <c r="AY404" s="1" t="s">
        <v>221</v>
      </c>
      <c r="AZ404" s="2" t="s">
        <v>320</v>
      </c>
      <c r="BA404" s="2" t="s">
        <v>904</v>
      </c>
      <c r="BB404" s="1" t="s">
        <v>503</v>
      </c>
      <c r="BC404" s="1" t="s">
        <v>487</v>
      </c>
      <c r="BD404" s="2" t="s">
        <v>905</v>
      </c>
    </row>
    <row r="405" spans="1:56" ht="15.75" customHeight="1">
      <c r="A405" s="2">
        <v>30081</v>
      </c>
      <c r="B405" s="2">
        <v>1</v>
      </c>
      <c r="C405" s="2">
        <v>2</v>
      </c>
      <c r="D405" s="2">
        <v>3</v>
      </c>
      <c r="E405" s="1">
        <v>3</v>
      </c>
      <c r="F405" s="1">
        <v>28</v>
      </c>
      <c r="G405" s="1">
        <v>62</v>
      </c>
      <c r="K405" s="1">
        <v>17</v>
      </c>
      <c r="AL405" s="1">
        <v>8</v>
      </c>
      <c r="AU405" s="1">
        <v>35</v>
      </c>
      <c r="AV405" s="2" t="s">
        <v>903</v>
      </c>
      <c r="AW405" s="1" t="s">
        <v>954</v>
      </c>
      <c r="AX405" s="1" t="s">
        <v>537</v>
      </c>
      <c r="AY405" s="1" t="s">
        <v>538</v>
      </c>
      <c r="AZ405" s="2" t="s">
        <v>320</v>
      </c>
      <c r="BA405" s="2" t="s">
        <v>904</v>
      </c>
      <c r="BB405" s="1" t="s">
        <v>503</v>
      </c>
      <c r="BC405" s="1" t="s">
        <v>487</v>
      </c>
      <c r="BD405" s="2" t="s">
        <v>905</v>
      </c>
    </row>
    <row r="406" spans="1:56" ht="15.75" customHeight="1">
      <c r="A406" s="2">
        <v>30081</v>
      </c>
      <c r="B406" s="2">
        <v>1</v>
      </c>
      <c r="C406" s="2">
        <v>2</v>
      </c>
      <c r="D406" s="2">
        <v>3</v>
      </c>
      <c r="E406" s="1">
        <v>4</v>
      </c>
      <c r="F406" s="1">
        <v>28</v>
      </c>
      <c r="G406" s="1">
        <v>65</v>
      </c>
      <c r="K406" s="1">
        <v>17</v>
      </c>
      <c r="AL406" s="1">
        <v>11</v>
      </c>
      <c r="AU406" s="1">
        <v>40</v>
      </c>
      <c r="AV406" s="2" t="s">
        <v>903</v>
      </c>
      <c r="AW406" s="1" t="s">
        <v>957</v>
      </c>
      <c r="AX406" s="1" t="s">
        <v>537</v>
      </c>
      <c r="AY406" s="1" t="s">
        <v>538</v>
      </c>
      <c r="AZ406" s="2" t="s">
        <v>766</v>
      </c>
      <c r="BA406" s="2" t="s">
        <v>904</v>
      </c>
      <c r="BB406" s="1" t="s">
        <v>510</v>
      </c>
      <c r="BC406" s="1" t="s">
        <v>487</v>
      </c>
      <c r="BD406" s="2" t="s">
        <v>905</v>
      </c>
    </row>
    <row r="407" spans="1:56" ht="15.75" customHeight="1">
      <c r="A407" s="2">
        <v>30082</v>
      </c>
      <c r="B407" s="2">
        <v>2</v>
      </c>
      <c r="C407" s="2">
        <v>0</v>
      </c>
      <c r="D407" s="2">
        <v>3</v>
      </c>
      <c r="E407" s="1">
        <v>0</v>
      </c>
      <c r="F407" s="2">
        <v>14</v>
      </c>
      <c r="G407" s="1">
        <v>52</v>
      </c>
      <c r="AR407" s="2">
        <v>8</v>
      </c>
      <c r="AU407" s="1">
        <v>30</v>
      </c>
      <c r="AV407" s="2" t="s">
        <v>906</v>
      </c>
      <c r="AW407" s="1" t="s">
        <v>944</v>
      </c>
      <c r="AX407" s="2" t="s">
        <v>675</v>
      </c>
      <c r="AY407" s="2" t="s">
        <v>907</v>
      </c>
      <c r="AZ407" s="2" t="s">
        <v>908</v>
      </c>
      <c r="BA407" s="2" t="s">
        <v>909</v>
      </c>
      <c r="BB407" s="1" t="s">
        <v>152</v>
      </c>
      <c r="BC407" s="1" t="s">
        <v>476</v>
      </c>
      <c r="BD407" s="2" t="s">
        <v>910</v>
      </c>
    </row>
    <row r="408" spans="1:56" ht="15.75" customHeight="1">
      <c r="A408" s="2">
        <v>30082</v>
      </c>
      <c r="B408" s="2">
        <v>2</v>
      </c>
      <c r="C408" s="2">
        <v>0</v>
      </c>
      <c r="D408" s="2">
        <v>3</v>
      </c>
      <c r="E408" s="1">
        <v>1</v>
      </c>
      <c r="F408" s="2">
        <v>14</v>
      </c>
      <c r="G408" s="1">
        <v>55</v>
      </c>
      <c r="AR408" s="2">
        <v>8</v>
      </c>
      <c r="AU408" s="1">
        <v>35</v>
      </c>
      <c r="AV408" s="2" t="s">
        <v>906</v>
      </c>
      <c r="AW408" s="1" t="s">
        <v>947</v>
      </c>
      <c r="AX408" s="2" t="s">
        <v>675</v>
      </c>
      <c r="AY408" s="2" t="s">
        <v>907</v>
      </c>
      <c r="AZ408" s="2" t="s">
        <v>908</v>
      </c>
      <c r="BA408" s="2" t="s">
        <v>909</v>
      </c>
      <c r="BB408" s="1" t="s">
        <v>478</v>
      </c>
      <c r="BC408" s="1" t="s">
        <v>476</v>
      </c>
      <c r="BD408" s="2" t="s">
        <v>910</v>
      </c>
    </row>
    <row r="409" spans="1:56" ht="15.75" customHeight="1">
      <c r="A409" s="2">
        <v>30082</v>
      </c>
      <c r="B409" s="2">
        <v>2</v>
      </c>
      <c r="C409" s="2">
        <v>0</v>
      </c>
      <c r="D409" s="2">
        <v>3</v>
      </c>
      <c r="E409" s="1">
        <v>2</v>
      </c>
      <c r="F409" s="2">
        <v>21</v>
      </c>
      <c r="G409" s="1">
        <v>59</v>
      </c>
      <c r="AR409" s="2">
        <v>8</v>
      </c>
      <c r="AU409" s="1">
        <v>35</v>
      </c>
      <c r="AV409" s="2" t="s">
        <v>906</v>
      </c>
      <c r="AW409" s="1" t="s">
        <v>950</v>
      </c>
      <c r="AX409" s="1" t="s">
        <v>146</v>
      </c>
      <c r="AY409" s="2" t="s">
        <v>907</v>
      </c>
      <c r="AZ409" s="2" t="s">
        <v>908</v>
      </c>
      <c r="BA409" s="2" t="s">
        <v>909</v>
      </c>
      <c r="BB409" s="1" t="s">
        <v>478</v>
      </c>
      <c r="BC409" s="1" t="s">
        <v>476</v>
      </c>
      <c r="BD409" s="2" t="s">
        <v>910</v>
      </c>
    </row>
    <row r="410" spans="1:56" ht="15.75" customHeight="1">
      <c r="A410" s="2">
        <v>30082</v>
      </c>
      <c r="B410" s="2">
        <v>2</v>
      </c>
      <c r="C410" s="2">
        <v>0</v>
      </c>
      <c r="D410" s="2">
        <v>3</v>
      </c>
      <c r="E410" s="1">
        <v>3</v>
      </c>
      <c r="F410" s="2">
        <v>21</v>
      </c>
      <c r="G410" s="1">
        <v>62</v>
      </c>
      <c r="AR410" s="2">
        <v>8</v>
      </c>
      <c r="AU410" s="1">
        <v>35</v>
      </c>
      <c r="AV410" s="2" t="s">
        <v>906</v>
      </c>
      <c r="AW410" s="1" t="s">
        <v>953</v>
      </c>
      <c r="AX410" s="1" t="s">
        <v>146</v>
      </c>
      <c r="AY410" s="2" t="s">
        <v>907</v>
      </c>
      <c r="AZ410" s="2" t="s">
        <v>911</v>
      </c>
      <c r="BA410" s="2" t="s">
        <v>909</v>
      </c>
      <c r="BB410" s="1" t="s">
        <v>478</v>
      </c>
      <c r="BC410" s="1" t="s">
        <v>476</v>
      </c>
      <c r="BD410" s="2" t="s">
        <v>910</v>
      </c>
    </row>
    <row r="411" spans="1:56" ht="15.75" customHeight="1">
      <c r="A411" s="2">
        <v>30082</v>
      </c>
      <c r="B411" s="2">
        <v>2</v>
      </c>
      <c r="C411" s="2">
        <v>0</v>
      </c>
      <c r="D411" s="2">
        <v>3</v>
      </c>
      <c r="E411" s="1">
        <v>4</v>
      </c>
      <c r="F411" s="2">
        <v>21</v>
      </c>
      <c r="G411" s="1">
        <v>65</v>
      </c>
      <c r="AR411" s="2">
        <v>11</v>
      </c>
      <c r="AU411" s="1">
        <v>40</v>
      </c>
      <c r="AV411" s="2" t="s">
        <v>906</v>
      </c>
      <c r="AW411" s="1" t="s">
        <v>956</v>
      </c>
      <c r="AX411" s="1" t="s">
        <v>146</v>
      </c>
      <c r="AY411" s="2" t="s">
        <v>447</v>
      </c>
      <c r="AZ411" s="2" t="s">
        <v>911</v>
      </c>
      <c r="BA411" s="2" t="s">
        <v>909</v>
      </c>
      <c r="BB411" s="1" t="s">
        <v>482</v>
      </c>
      <c r="BC411" s="1" t="s">
        <v>476</v>
      </c>
      <c r="BD411" s="2" t="s">
        <v>910</v>
      </c>
    </row>
    <row r="412" spans="1:56" ht="15.75" customHeight="1">
      <c r="A412" s="2">
        <v>30083</v>
      </c>
      <c r="B412" s="2">
        <v>1</v>
      </c>
      <c r="C412" s="2">
        <v>3</v>
      </c>
      <c r="D412" s="2">
        <v>3</v>
      </c>
      <c r="E412" s="1">
        <v>0</v>
      </c>
      <c r="I412" s="1">
        <v>6.5000000000000002E-2</v>
      </c>
      <c r="K412" s="1">
        <v>13</v>
      </c>
      <c r="W412" s="2">
        <v>3</v>
      </c>
      <c r="AA412" s="2">
        <v>5</v>
      </c>
      <c r="AU412" s="1">
        <v>30</v>
      </c>
      <c r="AV412" s="2" t="s">
        <v>912</v>
      </c>
      <c r="AW412" s="1" t="s">
        <v>497</v>
      </c>
      <c r="AX412" s="2" t="s">
        <v>852</v>
      </c>
      <c r="AY412" s="1" t="s">
        <v>221</v>
      </c>
      <c r="AZ412" s="2" t="s">
        <v>296</v>
      </c>
      <c r="BA412" s="2" t="s">
        <v>913</v>
      </c>
      <c r="BB412" s="1" t="s">
        <v>214</v>
      </c>
      <c r="BC412" s="1" t="s">
        <v>487</v>
      </c>
      <c r="BD412" s="2" t="s">
        <v>914</v>
      </c>
    </row>
    <row r="413" spans="1:56" ht="15.75" customHeight="1">
      <c r="A413" s="2">
        <v>30083</v>
      </c>
      <c r="B413" s="2">
        <v>1</v>
      </c>
      <c r="C413" s="2">
        <v>3</v>
      </c>
      <c r="D413" s="2">
        <v>3</v>
      </c>
      <c r="E413" s="1">
        <v>1</v>
      </c>
      <c r="I413" s="1">
        <v>7.0000000000000007E-2</v>
      </c>
      <c r="K413" s="1">
        <v>13</v>
      </c>
      <c r="W413" s="2">
        <v>3</v>
      </c>
      <c r="AA413" s="2">
        <v>5</v>
      </c>
      <c r="AU413" s="1">
        <v>35</v>
      </c>
      <c r="AV413" s="2" t="s">
        <v>912</v>
      </c>
      <c r="AW413" s="1" t="s">
        <v>502</v>
      </c>
      <c r="AX413" s="2" t="s">
        <v>852</v>
      </c>
      <c r="AY413" s="1" t="s">
        <v>221</v>
      </c>
      <c r="AZ413" s="2" t="s">
        <v>296</v>
      </c>
      <c r="BA413" s="2" t="s">
        <v>913</v>
      </c>
      <c r="BB413" s="1" t="s">
        <v>503</v>
      </c>
      <c r="BC413" s="1" t="s">
        <v>487</v>
      </c>
      <c r="BD413" s="2" t="s">
        <v>914</v>
      </c>
    </row>
    <row r="414" spans="1:56" ht="15.75" customHeight="1">
      <c r="A414" s="2">
        <v>30083</v>
      </c>
      <c r="B414" s="2">
        <v>1</v>
      </c>
      <c r="C414" s="2">
        <v>3</v>
      </c>
      <c r="D414" s="2">
        <v>3</v>
      </c>
      <c r="E414" s="1">
        <v>2</v>
      </c>
      <c r="I414" s="1">
        <v>7.4999999999999997E-2</v>
      </c>
      <c r="K414" s="1">
        <v>13</v>
      </c>
      <c r="W414" s="2">
        <v>3</v>
      </c>
      <c r="AA414" s="2">
        <v>6</v>
      </c>
      <c r="AU414" s="1">
        <v>35</v>
      </c>
      <c r="AV414" s="2" t="s">
        <v>912</v>
      </c>
      <c r="AW414" s="1" t="s">
        <v>504</v>
      </c>
      <c r="AX414" s="2" t="s">
        <v>855</v>
      </c>
      <c r="AY414" s="1" t="s">
        <v>221</v>
      </c>
      <c r="AZ414" s="2" t="s">
        <v>296</v>
      </c>
      <c r="BA414" s="2" t="s">
        <v>913</v>
      </c>
      <c r="BB414" s="1" t="s">
        <v>503</v>
      </c>
      <c r="BC414" s="1" t="s">
        <v>487</v>
      </c>
      <c r="BD414" s="2" t="s">
        <v>914</v>
      </c>
    </row>
    <row r="415" spans="1:56" ht="15.75" customHeight="1">
      <c r="A415" s="2">
        <v>30083</v>
      </c>
      <c r="B415" s="2">
        <v>1</v>
      </c>
      <c r="C415" s="2">
        <v>3</v>
      </c>
      <c r="D415" s="2">
        <v>3</v>
      </c>
      <c r="E415" s="1">
        <v>3</v>
      </c>
      <c r="I415" s="1">
        <v>0.08</v>
      </c>
      <c r="K415" s="1">
        <v>17</v>
      </c>
      <c r="W415" s="2">
        <v>3</v>
      </c>
      <c r="AA415" s="2">
        <v>6</v>
      </c>
      <c r="AU415" s="1">
        <v>35</v>
      </c>
      <c r="AV415" s="2" t="s">
        <v>912</v>
      </c>
      <c r="AW415" s="1" t="s">
        <v>506</v>
      </c>
      <c r="AX415" s="2" t="s">
        <v>855</v>
      </c>
      <c r="AY415" s="1" t="s">
        <v>538</v>
      </c>
      <c r="AZ415" s="2" t="s">
        <v>296</v>
      </c>
      <c r="BA415" s="2" t="s">
        <v>913</v>
      </c>
      <c r="BB415" s="1" t="s">
        <v>503</v>
      </c>
      <c r="BC415" s="1" t="s">
        <v>487</v>
      </c>
      <c r="BD415" s="2" t="s">
        <v>914</v>
      </c>
    </row>
    <row r="416" spans="1:56" ht="15.75" customHeight="1">
      <c r="A416" s="2">
        <v>30083</v>
      </c>
      <c r="B416" s="2">
        <v>1</v>
      </c>
      <c r="C416" s="2">
        <v>3</v>
      </c>
      <c r="D416" s="2">
        <v>3</v>
      </c>
      <c r="E416" s="1">
        <v>4</v>
      </c>
      <c r="I416" s="1">
        <v>8.5000000000000006E-2</v>
      </c>
      <c r="K416" s="1">
        <v>17</v>
      </c>
      <c r="W416" s="2">
        <v>4</v>
      </c>
      <c r="AA416" s="2">
        <v>6</v>
      </c>
      <c r="AU416" s="1">
        <v>40</v>
      </c>
      <c r="AV416" s="2" t="s">
        <v>912</v>
      </c>
      <c r="AW416" s="1" t="s">
        <v>508</v>
      </c>
      <c r="AX416" s="2" t="s">
        <v>855</v>
      </c>
      <c r="AY416" s="1" t="s">
        <v>538</v>
      </c>
      <c r="AZ416" s="2" t="s">
        <v>539</v>
      </c>
      <c r="BA416" s="2" t="s">
        <v>913</v>
      </c>
      <c r="BB416" s="1" t="s">
        <v>510</v>
      </c>
      <c r="BC416" s="1" t="s">
        <v>487</v>
      </c>
      <c r="BD416" s="2" t="s">
        <v>914</v>
      </c>
    </row>
    <row r="417" spans="1:56" ht="15.75" customHeight="1">
      <c r="A417" s="2">
        <v>30084</v>
      </c>
      <c r="B417" s="2">
        <v>1</v>
      </c>
      <c r="C417" s="2">
        <v>3</v>
      </c>
      <c r="D417" s="2">
        <v>3</v>
      </c>
      <c r="E417" s="1">
        <v>0</v>
      </c>
      <c r="F417" s="1">
        <v>21</v>
      </c>
      <c r="G417" s="1">
        <v>52</v>
      </c>
      <c r="K417" s="1">
        <v>13</v>
      </c>
      <c r="AA417" s="2">
        <v>5</v>
      </c>
      <c r="AU417" s="1">
        <v>30</v>
      </c>
      <c r="AV417" t="s">
        <v>963</v>
      </c>
      <c r="AW417" s="1" t="s">
        <v>945</v>
      </c>
      <c r="AX417" s="1" t="s">
        <v>220</v>
      </c>
      <c r="AY417" s="2" t="s">
        <v>852</v>
      </c>
      <c r="AZ417" s="1" t="s">
        <v>221</v>
      </c>
      <c r="BA417" s="2" t="s">
        <v>964</v>
      </c>
      <c r="BB417" s="1" t="s">
        <v>214</v>
      </c>
      <c r="BC417" s="1" t="s">
        <v>487</v>
      </c>
      <c r="BD417" s="2" t="s">
        <v>965</v>
      </c>
    </row>
    <row r="418" spans="1:56" ht="15.75" customHeight="1">
      <c r="A418" s="2">
        <v>30084</v>
      </c>
      <c r="B418" s="2">
        <v>1</v>
      </c>
      <c r="C418" s="2">
        <v>3</v>
      </c>
      <c r="D418" s="2">
        <v>3</v>
      </c>
      <c r="E418" s="1">
        <v>1</v>
      </c>
      <c r="F418" s="1">
        <v>21</v>
      </c>
      <c r="G418" s="1">
        <v>55</v>
      </c>
      <c r="K418" s="1">
        <v>13</v>
      </c>
      <c r="AA418" s="2">
        <v>5</v>
      </c>
      <c r="AU418" s="1">
        <v>35</v>
      </c>
      <c r="AV418" t="s">
        <v>963</v>
      </c>
      <c r="AW418" s="1" t="s">
        <v>948</v>
      </c>
      <c r="AX418" s="1" t="s">
        <v>220</v>
      </c>
      <c r="AY418" s="2" t="s">
        <v>852</v>
      </c>
      <c r="AZ418" s="1" t="s">
        <v>221</v>
      </c>
      <c r="BA418" s="2" t="s">
        <v>964</v>
      </c>
      <c r="BB418" s="1" t="s">
        <v>503</v>
      </c>
      <c r="BC418" s="1" t="s">
        <v>487</v>
      </c>
      <c r="BD418" s="2" t="s">
        <v>965</v>
      </c>
    </row>
    <row r="419" spans="1:56" ht="15.75" customHeight="1">
      <c r="A419" s="2">
        <v>30084</v>
      </c>
      <c r="B419" s="2">
        <v>1</v>
      </c>
      <c r="C419" s="2">
        <v>3</v>
      </c>
      <c r="D419" s="2">
        <v>3</v>
      </c>
      <c r="E419" s="1">
        <v>2</v>
      </c>
      <c r="F419" s="1">
        <v>28</v>
      </c>
      <c r="G419" s="1">
        <v>59</v>
      </c>
      <c r="K419" s="1">
        <v>13</v>
      </c>
      <c r="AA419" s="2">
        <v>5</v>
      </c>
      <c r="AU419" s="1">
        <v>35</v>
      </c>
      <c r="AV419" t="s">
        <v>963</v>
      </c>
      <c r="AW419" s="1" t="s">
        <v>951</v>
      </c>
      <c r="AX419" s="1" t="s">
        <v>537</v>
      </c>
      <c r="AY419" s="2" t="s">
        <v>852</v>
      </c>
      <c r="AZ419" s="1" t="s">
        <v>221</v>
      </c>
      <c r="BA419" s="2" t="s">
        <v>964</v>
      </c>
      <c r="BB419" s="1" t="s">
        <v>503</v>
      </c>
      <c r="BC419" s="1" t="s">
        <v>487</v>
      </c>
      <c r="BD419" s="2" t="s">
        <v>965</v>
      </c>
    </row>
    <row r="420" spans="1:56" ht="15.75" customHeight="1">
      <c r="A420" s="2">
        <v>30084</v>
      </c>
      <c r="B420" s="2">
        <v>1</v>
      </c>
      <c r="C420" s="2">
        <v>3</v>
      </c>
      <c r="D420" s="2">
        <v>3</v>
      </c>
      <c r="E420" s="1">
        <v>3</v>
      </c>
      <c r="F420" s="1">
        <v>28</v>
      </c>
      <c r="G420" s="1">
        <v>62</v>
      </c>
      <c r="K420" s="1">
        <v>13</v>
      </c>
      <c r="AA420" s="2">
        <v>6</v>
      </c>
      <c r="AU420" s="1">
        <v>35</v>
      </c>
      <c r="AV420" t="s">
        <v>963</v>
      </c>
      <c r="AW420" s="1" t="s">
        <v>954</v>
      </c>
      <c r="AX420" s="1" t="s">
        <v>537</v>
      </c>
      <c r="AY420" s="2" t="s">
        <v>855</v>
      </c>
      <c r="AZ420" s="1" t="s">
        <v>221</v>
      </c>
      <c r="BA420" s="2" t="s">
        <v>964</v>
      </c>
      <c r="BB420" s="1" t="s">
        <v>503</v>
      </c>
      <c r="BC420" s="1" t="s">
        <v>487</v>
      </c>
      <c r="BD420" s="2" t="s">
        <v>965</v>
      </c>
    </row>
    <row r="421" spans="1:56" ht="15.75" customHeight="1">
      <c r="A421" s="2">
        <v>30084</v>
      </c>
      <c r="B421" s="2">
        <v>1</v>
      </c>
      <c r="C421" s="2">
        <v>3</v>
      </c>
      <c r="D421" s="2">
        <v>3</v>
      </c>
      <c r="E421" s="1">
        <v>4</v>
      </c>
      <c r="F421" s="1">
        <v>28</v>
      </c>
      <c r="G421" s="1">
        <v>65</v>
      </c>
      <c r="K421" s="1">
        <v>17</v>
      </c>
      <c r="AA421" s="2">
        <v>6</v>
      </c>
      <c r="AU421" s="1">
        <v>40</v>
      </c>
      <c r="AV421" t="s">
        <v>963</v>
      </c>
      <c r="AW421" s="1" t="s">
        <v>957</v>
      </c>
      <c r="AX421" s="1" t="s">
        <v>537</v>
      </c>
      <c r="AY421" s="2" t="s">
        <v>855</v>
      </c>
      <c r="AZ421" s="1" t="s">
        <v>538</v>
      </c>
      <c r="BA421" s="2" t="s">
        <v>964</v>
      </c>
      <c r="BB421" s="1" t="s">
        <v>510</v>
      </c>
      <c r="BC421" s="1" t="s">
        <v>487</v>
      </c>
      <c r="BD421" s="2" t="s">
        <v>965</v>
      </c>
    </row>
    <row r="422" spans="1:56" ht="15.75" customHeight="1">
      <c r="A422" s="2">
        <v>30085</v>
      </c>
      <c r="B422" s="2">
        <v>1</v>
      </c>
      <c r="C422">
        <v>1</v>
      </c>
      <c r="D422" s="2">
        <v>3</v>
      </c>
      <c r="E422" s="1">
        <v>0</v>
      </c>
      <c r="I422" s="1">
        <v>6.5000000000000002E-2</v>
      </c>
      <c r="K422" s="1">
        <v>13</v>
      </c>
      <c r="L422">
        <v>15</v>
      </c>
      <c r="AD422">
        <v>3</v>
      </c>
      <c r="AU422" s="1">
        <v>30</v>
      </c>
      <c r="AV422" s="6" t="s">
        <v>966</v>
      </c>
      <c r="AW422" s="1" t="s">
        <v>497</v>
      </c>
      <c r="AX422" s="2" t="s">
        <v>661</v>
      </c>
      <c r="AY422" s="1" t="s">
        <v>221</v>
      </c>
      <c r="AZ422" s="2" t="s">
        <v>967</v>
      </c>
      <c r="BA422" s="7" t="s">
        <v>969</v>
      </c>
      <c r="BB422" s="1" t="s">
        <v>214</v>
      </c>
      <c r="BC422" s="1" t="s">
        <v>487</v>
      </c>
      <c r="BD422" s="11" t="s">
        <v>1075</v>
      </c>
    </row>
    <row r="423" spans="1:56" ht="15.75" customHeight="1">
      <c r="A423" s="2">
        <v>30085</v>
      </c>
      <c r="B423" s="2">
        <v>1</v>
      </c>
      <c r="C423">
        <v>1</v>
      </c>
      <c r="D423" s="2">
        <v>3</v>
      </c>
      <c r="E423" s="1">
        <v>1</v>
      </c>
      <c r="I423" s="1">
        <v>7.0000000000000007E-2</v>
      </c>
      <c r="K423" s="1">
        <v>13</v>
      </c>
      <c r="L423">
        <v>15</v>
      </c>
      <c r="AD423">
        <v>3</v>
      </c>
      <c r="AU423" s="1">
        <v>35</v>
      </c>
      <c r="AV423" s="6" t="s">
        <v>966</v>
      </c>
      <c r="AW423" s="1" t="s">
        <v>502</v>
      </c>
      <c r="AX423" s="2" t="s">
        <v>661</v>
      </c>
      <c r="AY423" s="1" t="s">
        <v>221</v>
      </c>
      <c r="AZ423" s="2" t="s">
        <v>967</v>
      </c>
      <c r="BA423" s="7" t="s">
        <v>969</v>
      </c>
      <c r="BB423" s="1" t="s">
        <v>503</v>
      </c>
      <c r="BC423" s="1" t="s">
        <v>487</v>
      </c>
      <c r="BD423" s="2" t="s">
        <v>1075</v>
      </c>
    </row>
    <row r="424" spans="1:56" ht="15.75" customHeight="1">
      <c r="A424" s="2">
        <v>30085</v>
      </c>
      <c r="B424" s="2">
        <v>1</v>
      </c>
      <c r="C424">
        <v>1</v>
      </c>
      <c r="D424" s="2">
        <v>3</v>
      </c>
      <c r="E424" s="1">
        <v>2</v>
      </c>
      <c r="I424" s="1">
        <v>7.4999999999999997E-2</v>
      </c>
      <c r="K424" s="1">
        <v>13</v>
      </c>
      <c r="L424">
        <v>15</v>
      </c>
      <c r="AD424">
        <v>4</v>
      </c>
      <c r="AU424" s="1">
        <v>35</v>
      </c>
      <c r="AV424" s="6" t="s">
        <v>966</v>
      </c>
      <c r="AW424" s="1" t="s">
        <v>504</v>
      </c>
      <c r="AX424" s="2" t="s">
        <v>664</v>
      </c>
      <c r="AY424" s="1" t="s">
        <v>221</v>
      </c>
      <c r="AZ424" s="2" t="s">
        <v>967</v>
      </c>
      <c r="BA424" s="7" t="s">
        <v>969</v>
      </c>
      <c r="BB424" s="1" t="s">
        <v>503</v>
      </c>
      <c r="BC424" s="1" t="s">
        <v>487</v>
      </c>
      <c r="BD424" s="2" t="s">
        <v>1075</v>
      </c>
    </row>
    <row r="425" spans="1:56" ht="15.75" customHeight="1">
      <c r="A425" s="2">
        <v>30085</v>
      </c>
      <c r="B425" s="2">
        <v>1</v>
      </c>
      <c r="C425">
        <v>1</v>
      </c>
      <c r="D425" s="2">
        <v>3</v>
      </c>
      <c r="E425" s="1">
        <v>3</v>
      </c>
      <c r="I425" s="1">
        <v>0.08</v>
      </c>
      <c r="K425" s="1">
        <v>17</v>
      </c>
      <c r="L425">
        <v>15</v>
      </c>
      <c r="AD425">
        <v>4</v>
      </c>
      <c r="AU425" s="1">
        <v>35</v>
      </c>
      <c r="AV425" s="6" t="s">
        <v>966</v>
      </c>
      <c r="AW425" s="1" t="s">
        <v>506</v>
      </c>
      <c r="AX425" s="2" t="s">
        <v>664</v>
      </c>
      <c r="AY425" s="1" t="s">
        <v>538</v>
      </c>
      <c r="AZ425" s="2" t="s">
        <v>967</v>
      </c>
      <c r="BA425" s="7" t="s">
        <v>969</v>
      </c>
      <c r="BB425" s="1" t="s">
        <v>503</v>
      </c>
      <c r="BC425" s="1" t="s">
        <v>487</v>
      </c>
      <c r="BD425" s="2" t="s">
        <v>1075</v>
      </c>
    </row>
    <row r="426" spans="1:56" ht="15.75" customHeight="1">
      <c r="A426" s="2">
        <v>30085</v>
      </c>
      <c r="B426" s="2">
        <v>1</v>
      </c>
      <c r="C426">
        <v>1</v>
      </c>
      <c r="D426" s="2">
        <v>3</v>
      </c>
      <c r="E426" s="1">
        <v>4</v>
      </c>
      <c r="I426" s="1">
        <v>8.5000000000000006E-2</v>
      </c>
      <c r="K426" s="1">
        <v>17</v>
      </c>
      <c r="L426">
        <v>21</v>
      </c>
      <c r="AD426">
        <v>4</v>
      </c>
      <c r="AU426" s="1">
        <v>40</v>
      </c>
      <c r="AV426" s="6" t="s">
        <v>966</v>
      </c>
      <c r="AW426" s="1" t="s">
        <v>508</v>
      </c>
      <c r="AX426" s="2" t="s">
        <v>664</v>
      </c>
      <c r="AY426" s="1" t="s">
        <v>538</v>
      </c>
      <c r="AZ426" s="2" t="s">
        <v>968</v>
      </c>
      <c r="BA426" s="7" t="s">
        <v>969</v>
      </c>
      <c r="BB426" s="1" t="s">
        <v>510</v>
      </c>
      <c r="BC426" s="1" t="s">
        <v>487</v>
      </c>
      <c r="BD426" s="2" t="s">
        <v>1075</v>
      </c>
    </row>
    <row r="427" spans="1:56" ht="15.75" customHeight="1">
      <c r="A427" s="2">
        <v>30086</v>
      </c>
      <c r="B427" s="2">
        <v>2</v>
      </c>
      <c r="C427">
        <v>1</v>
      </c>
      <c r="D427" s="2">
        <v>3</v>
      </c>
      <c r="E427" s="1">
        <v>0</v>
      </c>
      <c r="I427" s="1">
        <v>6.5000000000000002E-2</v>
      </c>
      <c r="Q427">
        <v>8</v>
      </c>
      <c r="AT427">
        <v>11</v>
      </c>
      <c r="AU427" s="1">
        <v>30</v>
      </c>
      <c r="AV427" t="s">
        <v>993</v>
      </c>
      <c r="AW427" s="1" t="s">
        <v>484</v>
      </c>
      <c r="AX427" s="1" t="s">
        <v>789</v>
      </c>
      <c r="AY427" s="1" t="s">
        <v>996</v>
      </c>
      <c r="AZ427" s="1" t="s">
        <v>1092</v>
      </c>
      <c r="BA427" s="2" t="s">
        <v>997</v>
      </c>
      <c r="BB427" s="1" t="s">
        <v>152</v>
      </c>
      <c r="BC427" s="1" t="s">
        <v>487</v>
      </c>
      <c r="BD427" s="2" t="s">
        <v>998</v>
      </c>
    </row>
    <row r="428" spans="1:56" ht="15.75" customHeight="1">
      <c r="A428" s="2">
        <v>30086</v>
      </c>
      <c r="B428" s="2">
        <v>2</v>
      </c>
      <c r="C428">
        <v>1</v>
      </c>
      <c r="D428" s="2">
        <v>3</v>
      </c>
      <c r="E428" s="1">
        <v>1</v>
      </c>
      <c r="I428" s="1">
        <v>7.0000000000000007E-2</v>
      </c>
      <c r="Q428">
        <v>8</v>
      </c>
      <c r="AT428">
        <v>11</v>
      </c>
      <c r="AU428" s="1">
        <v>35</v>
      </c>
      <c r="AV428" t="s">
        <v>993</v>
      </c>
      <c r="AW428" s="1" t="s">
        <v>489</v>
      </c>
      <c r="AX428" s="1" t="s">
        <v>789</v>
      </c>
      <c r="AY428" s="1" t="s">
        <v>996</v>
      </c>
      <c r="AZ428" s="1" t="s">
        <v>1092</v>
      </c>
      <c r="BA428" s="2" t="s">
        <v>997</v>
      </c>
      <c r="BB428" s="1" t="s">
        <v>478</v>
      </c>
      <c r="BC428" s="1" t="s">
        <v>487</v>
      </c>
      <c r="BD428" s="11" t="s">
        <v>998</v>
      </c>
    </row>
    <row r="429" spans="1:56" ht="15.75" customHeight="1">
      <c r="A429" s="2">
        <v>30086</v>
      </c>
      <c r="B429" s="2">
        <v>2</v>
      </c>
      <c r="C429">
        <v>1</v>
      </c>
      <c r="D429" s="2">
        <v>3</v>
      </c>
      <c r="E429" s="1">
        <v>2</v>
      </c>
      <c r="I429" s="1">
        <v>7.4999999999999997E-2</v>
      </c>
      <c r="Q429">
        <v>8</v>
      </c>
      <c r="AT429">
        <v>11</v>
      </c>
      <c r="AU429" s="1">
        <v>35</v>
      </c>
      <c r="AV429" t="s">
        <v>993</v>
      </c>
      <c r="AW429" s="1" t="s">
        <v>490</v>
      </c>
      <c r="AX429" s="1" t="s">
        <v>191</v>
      </c>
      <c r="AY429" s="1" t="s">
        <v>996</v>
      </c>
      <c r="AZ429" s="1" t="s">
        <v>1092</v>
      </c>
      <c r="BA429" s="2" t="s">
        <v>997</v>
      </c>
      <c r="BB429" s="1" t="s">
        <v>478</v>
      </c>
      <c r="BC429" s="1" t="s">
        <v>487</v>
      </c>
      <c r="BD429" s="2" t="s">
        <v>998</v>
      </c>
    </row>
    <row r="430" spans="1:56" ht="15.75" customHeight="1">
      <c r="A430" s="2">
        <v>30086</v>
      </c>
      <c r="B430" s="2">
        <v>2</v>
      </c>
      <c r="C430">
        <v>1</v>
      </c>
      <c r="D430" s="2">
        <v>3</v>
      </c>
      <c r="E430" s="1">
        <v>3</v>
      </c>
      <c r="I430" s="1">
        <v>0.08</v>
      </c>
      <c r="Q430">
        <v>8</v>
      </c>
      <c r="AT430">
        <v>17</v>
      </c>
      <c r="AU430" s="1">
        <v>35</v>
      </c>
      <c r="AV430" t="s">
        <v>993</v>
      </c>
      <c r="AW430" s="1" t="s">
        <v>492</v>
      </c>
      <c r="AX430" s="1" t="s">
        <v>191</v>
      </c>
      <c r="AY430" s="1" t="s">
        <v>996</v>
      </c>
      <c r="AZ430" s="1" t="s">
        <v>1093</v>
      </c>
      <c r="BA430" s="2" t="s">
        <v>997</v>
      </c>
      <c r="BB430" s="1" t="s">
        <v>478</v>
      </c>
      <c r="BC430" s="1" t="s">
        <v>487</v>
      </c>
      <c r="BD430" s="2" t="s">
        <v>998</v>
      </c>
    </row>
    <row r="431" spans="1:56" ht="15.75" customHeight="1">
      <c r="A431" s="2">
        <v>30086</v>
      </c>
      <c r="B431" s="2">
        <v>2</v>
      </c>
      <c r="C431">
        <v>1</v>
      </c>
      <c r="D431" s="2">
        <v>3</v>
      </c>
      <c r="E431" s="1">
        <v>4</v>
      </c>
      <c r="I431" s="1">
        <v>8.5000000000000006E-2</v>
      </c>
      <c r="Q431">
        <v>11</v>
      </c>
      <c r="AT431">
        <v>17</v>
      </c>
      <c r="AU431" s="1">
        <v>40</v>
      </c>
      <c r="AV431" t="s">
        <v>993</v>
      </c>
      <c r="AW431" s="1" t="s">
        <v>494</v>
      </c>
      <c r="AX431" s="1" t="s">
        <v>191</v>
      </c>
      <c r="AY431" s="1" t="s">
        <v>616</v>
      </c>
      <c r="AZ431" s="1" t="s">
        <v>1093</v>
      </c>
      <c r="BA431" s="2" t="s">
        <v>997</v>
      </c>
      <c r="BB431" s="1" t="s">
        <v>482</v>
      </c>
      <c r="BC431" s="1" t="s">
        <v>487</v>
      </c>
      <c r="BD431" s="2" t="s">
        <v>998</v>
      </c>
    </row>
    <row r="432" spans="1:56" ht="15.75" customHeight="1">
      <c r="A432" s="2">
        <v>30087</v>
      </c>
      <c r="B432" s="2">
        <v>0</v>
      </c>
      <c r="C432">
        <v>2</v>
      </c>
      <c r="D432" s="2">
        <v>3</v>
      </c>
      <c r="E432" s="1">
        <v>0</v>
      </c>
      <c r="F432" s="1">
        <v>21</v>
      </c>
      <c r="G432" s="1">
        <v>52</v>
      </c>
      <c r="AA432" s="2">
        <v>5</v>
      </c>
      <c r="AF432">
        <v>3</v>
      </c>
      <c r="AU432" s="1">
        <v>30</v>
      </c>
      <c r="AV432" t="s">
        <v>999</v>
      </c>
      <c r="AW432" s="1" t="s">
        <v>946</v>
      </c>
      <c r="AX432" s="1" t="s">
        <v>161</v>
      </c>
      <c r="AY432" s="1" t="s">
        <v>1154</v>
      </c>
      <c r="AZ432" s="2" t="s">
        <v>439</v>
      </c>
      <c r="BA432" s="2" t="s">
        <v>1003</v>
      </c>
      <c r="BB432" s="1" t="s">
        <v>167</v>
      </c>
      <c r="BC432" s="1" t="s">
        <v>487</v>
      </c>
      <c r="BD432" s="2" t="s">
        <v>1004</v>
      </c>
    </row>
    <row r="433" spans="1:56" ht="15.75" customHeight="1">
      <c r="A433" s="2">
        <v>30087</v>
      </c>
      <c r="B433" s="2">
        <v>0</v>
      </c>
      <c r="C433">
        <v>2</v>
      </c>
      <c r="D433" s="2">
        <v>3</v>
      </c>
      <c r="E433" s="1">
        <v>1</v>
      </c>
      <c r="F433" s="1">
        <v>21</v>
      </c>
      <c r="G433" s="1">
        <v>55</v>
      </c>
      <c r="AA433" s="2">
        <v>5</v>
      </c>
      <c r="AF433">
        <v>3</v>
      </c>
      <c r="AU433" s="1">
        <v>35</v>
      </c>
      <c r="AV433" t="s">
        <v>999</v>
      </c>
      <c r="AW433" s="1" t="s">
        <v>949</v>
      </c>
      <c r="AX433" s="1" t="s">
        <v>161</v>
      </c>
      <c r="AY433" s="1" t="s">
        <v>1154</v>
      </c>
      <c r="AZ433" s="2" t="s">
        <v>439</v>
      </c>
      <c r="BA433" s="2" t="s">
        <v>1003</v>
      </c>
      <c r="BB433" s="1" t="s">
        <v>516</v>
      </c>
      <c r="BC433" s="1" t="s">
        <v>487</v>
      </c>
      <c r="BD433" s="2" t="s">
        <v>1004</v>
      </c>
    </row>
    <row r="434" spans="1:56" ht="15.75" customHeight="1">
      <c r="A434" s="2">
        <v>30087</v>
      </c>
      <c r="B434" s="2">
        <v>0</v>
      </c>
      <c r="C434">
        <v>2</v>
      </c>
      <c r="D434" s="2">
        <v>3</v>
      </c>
      <c r="E434" s="1">
        <v>2</v>
      </c>
      <c r="F434" s="1">
        <v>28</v>
      </c>
      <c r="G434" s="1">
        <v>59</v>
      </c>
      <c r="AA434" s="2">
        <v>5</v>
      </c>
      <c r="AF434">
        <v>3</v>
      </c>
      <c r="AU434" s="1">
        <v>35</v>
      </c>
      <c r="AV434" t="s">
        <v>999</v>
      </c>
      <c r="AW434" s="1" t="s">
        <v>952</v>
      </c>
      <c r="AX434" s="1" t="s">
        <v>544</v>
      </c>
      <c r="AY434" s="1" t="s">
        <v>1154</v>
      </c>
      <c r="AZ434" s="2" t="s">
        <v>439</v>
      </c>
      <c r="BA434" s="2" t="s">
        <v>1003</v>
      </c>
      <c r="BB434" s="1" t="s">
        <v>516</v>
      </c>
      <c r="BC434" s="1" t="s">
        <v>487</v>
      </c>
      <c r="BD434" s="2" t="s">
        <v>1004</v>
      </c>
    </row>
    <row r="435" spans="1:56" ht="15.75" customHeight="1">
      <c r="A435" s="2">
        <v>30087</v>
      </c>
      <c r="B435" s="2">
        <v>0</v>
      </c>
      <c r="C435">
        <v>2</v>
      </c>
      <c r="D435" s="2">
        <v>3</v>
      </c>
      <c r="E435" s="1">
        <v>3</v>
      </c>
      <c r="F435" s="1">
        <v>28</v>
      </c>
      <c r="G435" s="1">
        <v>62</v>
      </c>
      <c r="AA435" s="2">
        <v>5</v>
      </c>
      <c r="AF435">
        <v>4</v>
      </c>
      <c r="AU435" s="1">
        <v>35</v>
      </c>
      <c r="AV435" t="s">
        <v>999</v>
      </c>
      <c r="AW435" s="1" t="s">
        <v>955</v>
      </c>
      <c r="AX435" s="1" t="s">
        <v>544</v>
      </c>
      <c r="AY435" s="1" t="s">
        <v>1155</v>
      </c>
      <c r="AZ435" s="2" t="s">
        <v>439</v>
      </c>
      <c r="BA435" s="2" t="s">
        <v>1003</v>
      </c>
      <c r="BB435" s="1" t="s">
        <v>516</v>
      </c>
      <c r="BC435" s="1" t="s">
        <v>487</v>
      </c>
      <c r="BD435" s="2" t="s">
        <v>1004</v>
      </c>
    </row>
    <row r="436" spans="1:56" ht="15.75" customHeight="1">
      <c r="A436" s="2">
        <v>30087</v>
      </c>
      <c r="B436" s="2">
        <v>0</v>
      </c>
      <c r="C436">
        <v>2</v>
      </c>
      <c r="D436" s="2">
        <v>3</v>
      </c>
      <c r="E436" s="1">
        <v>4</v>
      </c>
      <c r="F436" s="1">
        <v>28</v>
      </c>
      <c r="G436" s="1">
        <v>65</v>
      </c>
      <c r="AA436" s="2">
        <v>6</v>
      </c>
      <c r="AF436">
        <v>4</v>
      </c>
      <c r="AU436" s="1">
        <v>40</v>
      </c>
      <c r="AV436" t="s">
        <v>999</v>
      </c>
      <c r="AW436" s="1" t="s">
        <v>958</v>
      </c>
      <c r="AX436" s="1" t="s">
        <v>544</v>
      </c>
      <c r="AY436" s="1" t="s">
        <v>1155</v>
      </c>
      <c r="AZ436" s="2" t="s">
        <v>1000</v>
      </c>
      <c r="BA436" s="2" t="s">
        <v>1003</v>
      </c>
      <c r="BB436" s="1" t="s">
        <v>522</v>
      </c>
      <c r="BC436" s="1" t="s">
        <v>487</v>
      </c>
      <c r="BD436" s="2" t="s">
        <v>1004</v>
      </c>
    </row>
    <row r="437" spans="1:56" ht="15.75" customHeight="1">
      <c r="A437" s="2">
        <v>30088</v>
      </c>
      <c r="B437" s="2">
        <v>0</v>
      </c>
      <c r="C437">
        <v>3</v>
      </c>
      <c r="D437" s="2">
        <v>3</v>
      </c>
      <c r="E437" s="1">
        <v>0</v>
      </c>
      <c r="I437" s="1">
        <v>6.5000000000000002E-2</v>
      </c>
      <c r="K437" s="1">
        <v>13</v>
      </c>
      <c r="AA437" s="2">
        <v>5</v>
      </c>
      <c r="AB437">
        <v>2</v>
      </c>
      <c r="AU437" s="1">
        <v>30</v>
      </c>
      <c r="AV437" t="s">
        <v>1005</v>
      </c>
      <c r="AW437" s="1" t="s">
        <v>512</v>
      </c>
      <c r="AX437" s="1" t="s">
        <v>554</v>
      </c>
      <c r="AY437" s="1" t="s">
        <v>166</v>
      </c>
      <c r="AZ437" s="2" t="s">
        <v>439</v>
      </c>
      <c r="BA437" s="2" t="s">
        <v>1007</v>
      </c>
      <c r="BB437" s="1" t="s">
        <v>167</v>
      </c>
      <c r="BC437" s="1" t="s">
        <v>487</v>
      </c>
      <c r="BD437" s="11" t="s">
        <v>1008</v>
      </c>
    </row>
    <row r="438" spans="1:56" ht="15.75" customHeight="1">
      <c r="A438" s="2">
        <v>30088</v>
      </c>
      <c r="B438" s="2">
        <v>0</v>
      </c>
      <c r="C438">
        <v>3</v>
      </c>
      <c r="D438" s="2">
        <v>3</v>
      </c>
      <c r="E438" s="1">
        <v>1</v>
      </c>
      <c r="I438" s="1">
        <v>7.0000000000000007E-2</v>
      </c>
      <c r="K438" s="1">
        <v>13</v>
      </c>
      <c r="AA438" s="2">
        <v>5</v>
      </c>
      <c r="AB438">
        <v>2</v>
      </c>
      <c r="AU438" s="1">
        <v>35</v>
      </c>
      <c r="AV438" t="s">
        <v>1005</v>
      </c>
      <c r="AW438" s="1" t="s">
        <v>515</v>
      </c>
      <c r="AX438" s="1" t="s">
        <v>554</v>
      </c>
      <c r="AY438" s="1" t="s">
        <v>166</v>
      </c>
      <c r="AZ438" s="2" t="s">
        <v>439</v>
      </c>
      <c r="BA438" s="2" t="s">
        <v>1007</v>
      </c>
      <c r="BB438" s="1" t="s">
        <v>516</v>
      </c>
      <c r="BC438" s="1" t="s">
        <v>487</v>
      </c>
      <c r="BD438" s="2" t="s">
        <v>1008</v>
      </c>
    </row>
    <row r="439" spans="1:56" ht="15.75" customHeight="1">
      <c r="A439" s="2">
        <v>30088</v>
      </c>
      <c r="B439" s="2">
        <v>0</v>
      </c>
      <c r="C439">
        <v>3</v>
      </c>
      <c r="D439" s="2">
        <v>3</v>
      </c>
      <c r="E439" s="1">
        <v>2</v>
      </c>
      <c r="I439" s="1">
        <v>7.4999999999999997E-2</v>
      </c>
      <c r="K439" s="1">
        <v>13</v>
      </c>
      <c r="AA439" s="2">
        <v>5</v>
      </c>
      <c r="AB439">
        <v>3</v>
      </c>
      <c r="AU439" s="1">
        <v>35</v>
      </c>
      <c r="AV439" t="s">
        <v>1005</v>
      </c>
      <c r="AW439" s="1" t="s">
        <v>517</v>
      </c>
      <c r="AX439" s="1" t="s">
        <v>559</v>
      </c>
      <c r="AY439" s="1" t="s">
        <v>166</v>
      </c>
      <c r="AZ439" s="2" t="s">
        <v>439</v>
      </c>
      <c r="BA439" s="2" t="s">
        <v>1007</v>
      </c>
      <c r="BB439" s="1" t="s">
        <v>516</v>
      </c>
      <c r="BC439" s="1" t="s">
        <v>487</v>
      </c>
      <c r="BD439" s="2" t="s">
        <v>1008</v>
      </c>
    </row>
    <row r="440" spans="1:56" ht="15.75" customHeight="1">
      <c r="A440" s="2">
        <v>30088</v>
      </c>
      <c r="B440" s="2">
        <v>0</v>
      </c>
      <c r="C440">
        <v>3</v>
      </c>
      <c r="D440" s="2">
        <v>3</v>
      </c>
      <c r="E440" s="1">
        <v>3</v>
      </c>
      <c r="I440" s="1">
        <v>0.08</v>
      </c>
      <c r="K440" s="1">
        <v>17</v>
      </c>
      <c r="AA440" s="2">
        <v>5</v>
      </c>
      <c r="AB440">
        <v>3</v>
      </c>
      <c r="AU440" s="1">
        <v>35</v>
      </c>
      <c r="AV440" t="s">
        <v>1005</v>
      </c>
      <c r="AW440" s="1" t="s">
        <v>518</v>
      </c>
      <c r="AX440" s="1" t="s">
        <v>559</v>
      </c>
      <c r="AY440" s="1" t="s">
        <v>545</v>
      </c>
      <c r="AZ440" s="2" t="s">
        <v>439</v>
      </c>
      <c r="BA440" s="2" t="s">
        <v>1007</v>
      </c>
      <c r="BB440" s="1" t="s">
        <v>516</v>
      </c>
      <c r="BC440" s="1" t="s">
        <v>487</v>
      </c>
      <c r="BD440" s="2" t="s">
        <v>1008</v>
      </c>
    </row>
    <row r="441" spans="1:56" ht="15.75" customHeight="1">
      <c r="A441" s="2">
        <v>30088</v>
      </c>
      <c r="B441" s="2">
        <v>0</v>
      </c>
      <c r="C441">
        <v>3</v>
      </c>
      <c r="D441" s="2">
        <v>3</v>
      </c>
      <c r="E441" s="1">
        <v>4</v>
      </c>
      <c r="I441" s="1">
        <v>8.5000000000000006E-2</v>
      </c>
      <c r="K441" s="1">
        <v>17</v>
      </c>
      <c r="AA441" s="2">
        <v>6</v>
      </c>
      <c r="AB441">
        <v>3</v>
      </c>
      <c r="AU441" s="1">
        <v>40</v>
      </c>
      <c r="AV441" t="s">
        <v>1005</v>
      </c>
      <c r="AW441" s="1" t="s">
        <v>520</v>
      </c>
      <c r="AX441" s="1" t="s">
        <v>559</v>
      </c>
      <c r="AY441" s="1" t="s">
        <v>545</v>
      </c>
      <c r="AZ441" s="2" t="s">
        <v>1000</v>
      </c>
      <c r="BA441" s="2" t="s">
        <v>1007</v>
      </c>
      <c r="BB441" s="1" t="s">
        <v>522</v>
      </c>
      <c r="BC441" s="1" t="s">
        <v>487</v>
      </c>
      <c r="BD441" s="2" t="s">
        <v>1008</v>
      </c>
    </row>
    <row r="442" spans="1:56" ht="15.75" customHeight="1">
      <c r="A442" s="2">
        <v>30089</v>
      </c>
      <c r="B442" s="2">
        <v>0</v>
      </c>
      <c r="C442">
        <v>2</v>
      </c>
      <c r="D442" s="2">
        <v>3</v>
      </c>
      <c r="E442" s="1">
        <v>0</v>
      </c>
      <c r="I442" s="1">
        <v>6.5000000000000002E-2</v>
      </c>
      <c r="O442">
        <v>9</v>
      </c>
      <c r="AK442">
        <v>2</v>
      </c>
      <c r="AU442" s="1">
        <v>30</v>
      </c>
      <c r="AV442" t="s">
        <v>1009</v>
      </c>
      <c r="AW442" s="1" t="s">
        <v>512</v>
      </c>
      <c r="AX442" s="1" t="s">
        <v>680</v>
      </c>
      <c r="AY442" s="1" t="s">
        <v>1013</v>
      </c>
      <c r="AZ442" s="1" t="s">
        <v>1010</v>
      </c>
      <c r="BA442" s="2" t="s">
        <v>1014</v>
      </c>
      <c r="BB442" s="1" t="s">
        <v>167</v>
      </c>
      <c r="BC442" s="1" t="s">
        <v>476</v>
      </c>
      <c r="BD442" s="2" t="s">
        <v>1157</v>
      </c>
    </row>
    <row r="443" spans="1:56" ht="15.75" customHeight="1">
      <c r="A443" s="2">
        <v>30089</v>
      </c>
      <c r="B443" s="2">
        <v>0</v>
      </c>
      <c r="C443">
        <v>2</v>
      </c>
      <c r="D443" s="2">
        <v>3</v>
      </c>
      <c r="E443" s="1">
        <v>1</v>
      </c>
      <c r="I443" s="1">
        <v>7.0000000000000007E-2</v>
      </c>
      <c r="O443">
        <v>9</v>
      </c>
      <c r="AK443">
        <v>2</v>
      </c>
      <c r="AU443" s="1">
        <v>35</v>
      </c>
      <c r="AV443" t="s">
        <v>1009</v>
      </c>
      <c r="AW443" s="1" t="s">
        <v>515</v>
      </c>
      <c r="AX443" s="1" t="s">
        <v>680</v>
      </c>
      <c r="AY443" s="1" t="s">
        <v>1013</v>
      </c>
      <c r="AZ443" s="1" t="s">
        <v>1010</v>
      </c>
      <c r="BA443" s="2" t="s">
        <v>1014</v>
      </c>
      <c r="BB443" s="1" t="s">
        <v>516</v>
      </c>
      <c r="BC443" s="1" t="s">
        <v>476</v>
      </c>
      <c r="BD443" s="2" t="s">
        <v>1157</v>
      </c>
    </row>
    <row r="444" spans="1:56" ht="15.75" customHeight="1">
      <c r="A444" s="2">
        <v>30089</v>
      </c>
      <c r="B444" s="2">
        <v>0</v>
      </c>
      <c r="C444">
        <v>2</v>
      </c>
      <c r="D444" s="2">
        <v>3</v>
      </c>
      <c r="E444" s="1">
        <v>2</v>
      </c>
      <c r="I444" s="1">
        <v>7.4999999999999997E-2</v>
      </c>
      <c r="O444">
        <v>9</v>
      </c>
      <c r="AK444">
        <v>2</v>
      </c>
      <c r="AU444" s="1">
        <v>35</v>
      </c>
      <c r="AV444" t="s">
        <v>1009</v>
      </c>
      <c r="AW444" s="1" t="s">
        <v>517</v>
      </c>
      <c r="AX444" s="1" t="s">
        <v>174</v>
      </c>
      <c r="AY444" s="1" t="s">
        <v>1013</v>
      </c>
      <c r="AZ444" s="1" t="s">
        <v>1010</v>
      </c>
      <c r="BA444" s="2" t="s">
        <v>1014</v>
      </c>
      <c r="BB444" s="1" t="s">
        <v>516</v>
      </c>
      <c r="BC444" s="1" t="s">
        <v>476</v>
      </c>
      <c r="BD444" s="2" t="s">
        <v>1157</v>
      </c>
    </row>
    <row r="445" spans="1:56" ht="15.75" customHeight="1">
      <c r="A445" s="2">
        <v>30089</v>
      </c>
      <c r="B445" s="2">
        <v>0</v>
      </c>
      <c r="C445">
        <v>2</v>
      </c>
      <c r="D445" s="2">
        <v>3</v>
      </c>
      <c r="E445" s="1">
        <v>3</v>
      </c>
      <c r="I445" s="1">
        <v>0.08</v>
      </c>
      <c r="O445">
        <v>12</v>
      </c>
      <c r="AK445">
        <v>2</v>
      </c>
      <c r="AU445" s="1">
        <v>35</v>
      </c>
      <c r="AV445" t="s">
        <v>1009</v>
      </c>
      <c r="AW445" s="1" t="s">
        <v>518</v>
      </c>
      <c r="AX445" s="1" t="s">
        <v>174</v>
      </c>
      <c r="AY445" s="1" t="s">
        <v>1013</v>
      </c>
      <c r="AZ445" s="1" t="s">
        <v>636</v>
      </c>
      <c r="BA445" s="2" t="s">
        <v>1014</v>
      </c>
      <c r="BB445" s="1" t="s">
        <v>516</v>
      </c>
      <c r="BC445" s="1" t="s">
        <v>476</v>
      </c>
      <c r="BD445" s="2" t="s">
        <v>1157</v>
      </c>
    </row>
    <row r="446" spans="1:56" ht="15.75" customHeight="1">
      <c r="A446" s="2">
        <v>30089</v>
      </c>
      <c r="B446" s="2">
        <v>0</v>
      </c>
      <c r="C446">
        <v>2</v>
      </c>
      <c r="D446" s="2">
        <v>3</v>
      </c>
      <c r="E446" s="1">
        <v>4</v>
      </c>
      <c r="I446" s="1">
        <v>8.5000000000000006E-2</v>
      </c>
      <c r="O446">
        <v>12</v>
      </c>
      <c r="AK446">
        <v>3</v>
      </c>
      <c r="AU446" s="1">
        <v>40</v>
      </c>
      <c r="AV446" t="s">
        <v>1009</v>
      </c>
      <c r="AW446" s="1" t="s">
        <v>520</v>
      </c>
      <c r="AX446" s="1" t="s">
        <v>174</v>
      </c>
      <c r="AY446" s="1" t="s">
        <v>835</v>
      </c>
      <c r="AZ446" s="1" t="s">
        <v>636</v>
      </c>
      <c r="BA446" s="2" t="s">
        <v>1014</v>
      </c>
      <c r="BB446" s="1" t="s">
        <v>522</v>
      </c>
      <c r="BC446" s="1" t="s">
        <v>476</v>
      </c>
      <c r="BD446" s="2" t="s">
        <v>1157</v>
      </c>
    </row>
    <row r="447" spans="1:56" ht="15.75" customHeight="1">
      <c r="A447" s="2">
        <v>30090</v>
      </c>
      <c r="B447" s="2">
        <v>0</v>
      </c>
      <c r="C447">
        <v>2</v>
      </c>
      <c r="D447">
        <v>3</v>
      </c>
      <c r="E447" s="1">
        <v>0</v>
      </c>
      <c r="G447" s="1">
        <v>52</v>
      </c>
      <c r="O447">
        <v>12</v>
      </c>
      <c r="AB447">
        <v>2</v>
      </c>
      <c r="AT447">
        <v>17</v>
      </c>
      <c r="AU447" s="1">
        <v>30</v>
      </c>
      <c r="AV447" t="s">
        <v>1015</v>
      </c>
      <c r="AW447" s="1" t="s">
        <v>946</v>
      </c>
      <c r="AX447" s="1" t="s">
        <v>636</v>
      </c>
      <c r="AY447" s="1" t="s">
        <v>1089</v>
      </c>
      <c r="AZ447" s="1" t="s">
        <v>554</v>
      </c>
      <c r="BA447" s="2" t="s">
        <v>1016</v>
      </c>
      <c r="BB447" s="1" t="s">
        <v>167</v>
      </c>
      <c r="BC447" s="1" t="s">
        <v>487</v>
      </c>
      <c r="BD447" s="2" t="s">
        <v>1017</v>
      </c>
    </row>
    <row r="448" spans="1:56" ht="15.75" customHeight="1">
      <c r="A448" s="2">
        <v>30090</v>
      </c>
      <c r="B448" s="2">
        <v>0</v>
      </c>
      <c r="C448">
        <v>2</v>
      </c>
      <c r="D448">
        <v>3</v>
      </c>
      <c r="E448" s="1">
        <v>1</v>
      </c>
      <c r="G448" s="1">
        <v>55</v>
      </c>
      <c r="O448">
        <v>12</v>
      </c>
      <c r="AB448">
        <v>2</v>
      </c>
      <c r="AT448">
        <v>17</v>
      </c>
      <c r="AU448" s="1">
        <v>35</v>
      </c>
      <c r="AV448" t="s">
        <v>1015</v>
      </c>
      <c r="AW448" s="1" t="s">
        <v>949</v>
      </c>
      <c r="AX448" s="1" t="s">
        <v>636</v>
      </c>
      <c r="AY448" s="1" t="s">
        <v>1089</v>
      </c>
      <c r="AZ448" s="1" t="s">
        <v>554</v>
      </c>
      <c r="BA448" s="2" t="s">
        <v>1016</v>
      </c>
      <c r="BB448" s="1" t="s">
        <v>516</v>
      </c>
      <c r="BC448" s="1" t="s">
        <v>487</v>
      </c>
      <c r="BD448" s="2" t="s">
        <v>1017</v>
      </c>
    </row>
    <row r="449" spans="1:56" ht="15.75" customHeight="1">
      <c r="A449" s="2">
        <v>30090</v>
      </c>
      <c r="B449" s="2">
        <v>0</v>
      </c>
      <c r="C449">
        <v>2</v>
      </c>
      <c r="D449">
        <v>3</v>
      </c>
      <c r="E449" s="1">
        <v>2</v>
      </c>
      <c r="G449" s="1">
        <v>59</v>
      </c>
      <c r="O449">
        <v>17</v>
      </c>
      <c r="AB449">
        <v>2</v>
      </c>
      <c r="AT449">
        <v>17</v>
      </c>
      <c r="AU449" s="1">
        <v>35</v>
      </c>
      <c r="AV449" t="s">
        <v>1015</v>
      </c>
      <c r="AW449" s="1" t="s">
        <v>952</v>
      </c>
      <c r="AX449" s="1" t="s">
        <v>639</v>
      </c>
      <c r="AY449" s="1" t="s">
        <v>1089</v>
      </c>
      <c r="AZ449" s="1" t="s">
        <v>554</v>
      </c>
      <c r="BA449" s="2" t="s">
        <v>1016</v>
      </c>
      <c r="BB449" s="1" t="s">
        <v>516</v>
      </c>
      <c r="BC449" s="1" t="s">
        <v>487</v>
      </c>
      <c r="BD449" s="2" t="s">
        <v>1017</v>
      </c>
    </row>
    <row r="450" spans="1:56" ht="15.75" customHeight="1">
      <c r="A450" s="2">
        <v>30090</v>
      </c>
      <c r="B450" s="2">
        <v>0</v>
      </c>
      <c r="C450">
        <v>2</v>
      </c>
      <c r="D450">
        <v>3</v>
      </c>
      <c r="E450" s="1">
        <v>3</v>
      </c>
      <c r="G450" s="1">
        <v>62</v>
      </c>
      <c r="O450">
        <v>17</v>
      </c>
      <c r="AB450">
        <v>2</v>
      </c>
      <c r="AT450">
        <v>22</v>
      </c>
      <c r="AU450" s="1">
        <v>35</v>
      </c>
      <c r="AV450" t="s">
        <v>1015</v>
      </c>
      <c r="AW450" s="1" t="s">
        <v>955</v>
      </c>
      <c r="AX450" s="1" t="s">
        <v>639</v>
      </c>
      <c r="AY450" s="1" t="s">
        <v>1094</v>
      </c>
      <c r="AZ450" s="1" t="s">
        <v>554</v>
      </c>
      <c r="BA450" s="2" t="s">
        <v>1016</v>
      </c>
      <c r="BB450" s="1" t="s">
        <v>516</v>
      </c>
      <c r="BC450" s="1" t="s">
        <v>487</v>
      </c>
      <c r="BD450" s="2" t="s">
        <v>1017</v>
      </c>
    </row>
    <row r="451" spans="1:56" ht="15.75" customHeight="1">
      <c r="A451" s="2">
        <v>30090</v>
      </c>
      <c r="B451" s="2">
        <v>0</v>
      </c>
      <c r="C451">
        <v>2</v>
      </c>
      <c r="D451">
        <v>3</v>
      </c>
      <c r="E451" s="1">
        <v>4</v>
      </c>
      <c r="G451" s="1">
        <v>65</v>
      </c>
      <c r="O451">
        <v>17</v>
      </c>
      <c r="AB451">
        <v>3</v>
      </c>
      <c r="AT451">
        <v>22</v>
      </c>
      <c r="AU451" s="1">
        <v>40</v>
      </c>
      <c r="AV451" t="s">
        <v>1015</v>
      </c>
      <c r="AW451" s="1" t="s">
        <v>958</v>
      </c>
      <c r="AX451" s="1" t="s">
        <v>639</v>
      </c>
      <c r="AY451" s="1" t="s">
        <v>1094</v>
      </c>
      <c r="AZ451" s="1" t="s">
        <v>559</v>
      </c>
      <c r="BA451" s="2" t="s">
        <v>1016</v>
      </c>
      <c r="BB451" s="1" t="s">
        <v>522</v>
      </c>
      <c r="BC451" s="1" t="s">
        <v>487</v>
      </c>
      <c r="BD451" s="2" t="s">
        <v>1017</v>
      </c>
    </row>
    <row r="452" spans="1:56" ht="15.75" customHeight="1">
      <c r="A452" s="2">
        <v>30091</v>
      </c>
      <c r="B452" s="2">
        <v>2</v>
      </c>
      <c r="C452">
        <v>2</v>
      </c>
      <c r="D452">
        <v>3</v>
      </c>
      <c r="E452" s="1">
        <v>0</v>
      </c>
      <c r="G452" s="1">
        <v>52</v>
      </c>
      <c r="L452">
        <v>15</v>
      </c>
      <c r="AB452">
        <v>2</v>
      </c>
      <c r="AK452">
        <v>3</v>
      </c>
      <c r="AU452" s="1">
        <v>30</v>
      </c>
      <c r="AV452" t="s">
        <v>1064</v>
      </c>
      <c r="AW452" s="1" t="s">
        <v>944</v>
      </c>
      <c r="AX452" s="2" t="s">
        <v>871</v>
      </c>
      <c r="AY452" s="1" t="s">
        <v>1027</v>
      </c>
      <c r="AZ452" s="1" t="s">
        <v>529</v>
      </c>
      <c r="BA452" s="2" t="s">
        <v>1029</v>
      </c>
      <c r="BB452" s="1" t="s">
        <v>152</v>
      </c>
      <c r="BC452" s="1" t="s">
        <v>487</v>
      </c>
      <c r="BD452" s="11" t="s">
        <v>1030</v>
      </c>
    </row>
    <row r="453" spans="1:56" ht="15.75" customHeight="1">
      <c r="A453" s="2">
        <v>30091</v>
      </c>
      <c r="B453" s="2">
        <v>2</v>
      </c>
      <c r="C453">
        <v>2</v>
      </c>
      <c r="D453">
        <v>3</v>
      </c>
      <c r="E453" s="1">
        <v>1</v>
      </c>
      <c r="G453" s="1">
        <v>55</v>
      </c>
      <c r="L453">
        <v>15</v>
      </c>
      <c r="AB453">
        <v>2</v>
      </c>
      <c r="AK453">
        <v>3</v>
      </c>
      <c r="AU453" s="1">
        <v>35</v>
      </c>
      <c r="AV453" t="s">
        <v>1064</v>
      </c>
      <c r="AW453" s="1" t="s">
        <v>947</v>
      </c>
      <c r="AX453" s="2" t="s">
        <v>871</v>
      </c>
      <c r="AY453" s="1" t="s">
        <v>1027</v>
      </c>
      <c r="AZ453" s="1" t="s">
        <v>529</v>
      </c>
      <c r="BA453" s="2" t="s">
        <v>1029</v>
      </c>
      <c r="BB453" s="1" t="s">
        <v>478</v>
      </c>
      <c r="BC453" s="1" t="s">
        <v>487</v>
      </c>
      <c r="BD453" s="2" t="s">
        <v>1030</v>
      </c>
    </row>
    <row r="454" spans="1:56" ht="15.75" customHeight="1">
      <c r="A454" s="2">
        <v>30091</v>
      </c>
      <c r="B454" s="2">
        <v>2</v>
      </c>
      <c r="C454">
        <v>2</v>
      </c>
      <c r="D454">
        <v>3</v>
      </c>
      <c r="E454" s="1">
        <v>2</v>
      </c>
      <c r="G454" s="1">
        <v>59</v>
      </c>
      <c r="L454">
        <v>21</v>
      </c>
      <c r="AB454">
        <v>2</v>
      </c>
      <c r="AK454">
        <v>3</v>
      </c>
      <c r="AU454" s="1">
        <v>35</v>
      </c>
      <c r="AV454" t="s">
        <v>1064</v>
      </c>
      <c r="AW454" s="1" t="s">
        <v>950</v>
      </c>
      <c r="AX454" s="2" t="s">
        <v>874</v>
      </c>
      <c r="AY454" s="1" t="s">
        <v>1027</v>
      </c>
      <c r="AZ454" s="1" t="s">
        <v>529</v>
      </c>
      <c r="BA454" s="2" t="s">
        <v>1029</v>
      </c>
      <c r="BB454" s="1" t="s">
        <v>478</v>
      </c>
      <c r="BC454" s="1" t="s">
        <v>487</v>
      </c>
      <c r="BD454" s="2" t="s">
        <v>1030</v>
      </c>
    </row>
    <row r="455" spans="1:56" ht="15.75" customHeight="1">
      <c r="A455" s="2">
        <v>30091</v>
      </c>
      <c r="B455" s="2">
        <v>2</v>
      </c>
      <c r="C455">
        <v>2</v>
      </c>
      <c r="D455">
        <v>3</v>
      </c>
      <c r="E455" s="1">
        <v>3</v>
      </c>
      <c r="G455" s="1">
        <v>62</v>
      </c>
      <c r="L455">
        <v>21</v>
      </c>
      <c r="AB455">
        <v>2</v>
      </c>
      <c r="AK455">
        <v>4</v>
      </c>
      <c r="AU455" s="1">
        <v>35</v>
      </c>
      <c r="AV455" t="s">
        <v>1064</v>
      </c>
      <c r="AW455" s="1" t="s">
        <v>953</v>
      </c>
      <c r="AX455" s="2" t="s">
        <v>874</v>
      </c>
      <c r="AY455" s="1" t="s">
        <v>1028</v>
      </c>
      <c r="AZ455" s="1" t="s">
        <v>529</v>
      </c>
      <c r="BA455" s="2" t="s">
        <v>1029</v>
      </c>
      <c r="BB455" s="1" t="s">
        <v>478</v>
      </c>
      <c r="BC455" s="1" t="s">
        <v>487</v>
      </c>
      <c r="BD455" s="2" t="s">
        <v>1030</v>
      </c>
    </row>
    <row r="456" spans="1:56" ht="15.75" customHeight="1">
      <c r="A456" s="2">
        <v>30091</v>
      </c>
      <c r="B456" s="2">
        <v>2</v>
      </c>
      <c r="C456">
        <v>2</v>
      </c>
      <c r="D456">
        <v>3</v>
      </c>
      <c r="E456" s="1">
        <v>4</v>
      </c>
      <c r="G456" s="1">
        <v>65</v>
      </c>
      <c r="L456">
        <v>21</v>
      </c>
      <c r="AB456">
        <v>3</v>
      </c>
      <c r="AK456">
        <v>4</v>
      </c>
      <c r="AU456" s="1">
        <v>40</v>
      </c>
      <c r="AV456" t="s">
        <v>1064</v>
      </c>
      <c r="AW456" s="1" t="s">
        <v>956</v>
      </c>
      <c r="AX456" s="2" t="s">
        <v>874</v>
      </c>
      <c r="AY456" s="1" t="s">
        <v>1028</v>
      </c>
      <c r="AZ456" s="1" t="s">
        <v>533</v>
      </c>
      <c r="BA456" s="2" t="s">
        <v>1029</v>
      </c>
      <c r="BB456" s="1" t="s">
        <v>482</v>
      </c>
      <c r="BC456" s="1" t="s">
        <v>487</v>
      </c>
      <c r="BD456" s="2" t="s">
        <v>1030</v>
      </c>
    </row>
    <row r="457" spans="1:56" ht="15.75" customHeight="1">
      <c r="A457" s="2">
        <v>30092</v>
      </c>
      <c r="B457" s="2">
        <v>1</v>
      </c>
      <c r="C457">
        <v>1</v>
      </c>
      <c r="D457">
        <v>3</v>
      </c>
      <c r="E457" s="1">
        <v>0</v>
      </c>
      <c r="F457" s="1">
        <v>21</v>
      </c>
      <c r="G457" s="1">
        <v>52</v>
      </c>
      <c r="AA457" s="2">
        <v>5</v>
      </c>
      <c r="AE457">
        <v>3</v>
      </c>
      <c r="AU457" s="1">
        <v>30</v>
      </c>
      <c r="AV457" t="s">
        <v>1065</v>
      </c>
      <c r="AW457" s="1" t="s">
        <v>945</v>
      </c>
      <c r="AX457" s="1" t="s">
        <v>220</v>
      </c>
      <c r="AY457" s="2" t="s">
        <v>852</v>
      </c>
      <c r="AZ457" s="1" t="s">
        <v>409</v>
      </c>
      <c r="BA457" s="2" t="s">
        <v>1073</v>
      </c>
      <c r="BB457" s="1" t="s">
        <v>214</v>
      </c>
      <c r="BC457" s="1" t="s">
        <v>487</v>
      </c>
      <c r="BD457" s="2" t="s">
        <v>1074</v>
      </c>
    </row>
    <row r="458" spans="1:56" ht="15.75" customHeight="1">
      <c r="A458" s="2">
        <v>30092</v>
      </c>
      <c r="B458" s="2">
        <v>1</v>
      </c>
      <c r="C458">
        <v>1</v>
      </c>
      <c r="D458">
        <v>3</v>
      </c>
      <c r="E458" s="1">
        <v>1</v>
      </c>
      <c r="F458" s="1">
        <v>21</v>
      </c>
      <c r="G458" s="1">
        <v>55</v>
      </c>
      <c r="AA458" s="2">
        <v>5</v>
      </c>
      <c r="AE458">
        <v>3</v>
      </c>
      <c r="AU458" s="1">
        <v>35</v>
      </c>
      <c r="AV458" t="s">
        <v>1065</v>
      </c>
      <c r="AW458" s="1" t="s">
        <v>948</v>
      </c>
      <c r="AX458" s="1" t="s">
        <v>220</v>
      </c>
      <c r="AY458" s="2" t="s">
        <v>852</v>
      </c>
      <c r="AZ458" s="1" t="s">
        <v>409</v>
      </c>
      <c r="BA458" s="2" t="s">
        <v>1073</v>
      </c>
      <c r="BB458" s="1" t="s">
        <v>503</v>
      </c>
      <c r="BC458" s="1" t="s">
        <v>487</v>
      </c>
      <c r="BD458" s="2" t="s">
        <v>1074</v>
      </c>
    </row>
    <row r="459" spans="1:56" ht="15.75" customHeight="1">
      <c r="A459" s="2">
        <v>30092</v>
      </c>
      <c r="B459" s="2">
        <v>1</v>
      </c>
      <c r="C459">
        <v>1</v>
      </c>
      <c r="D459">
        <v>3</v>
      </c>
      <c r="E459" s="1">
        <v>2</v>
      </c>
      <c r="F459" s="1">
        <v>28</v>
      </c>
      <c r="G459" s="1">
        <v>59</v>
      </c>
      <c r="AA459" s="2">
        <v>5</v>
      </c>
      <c r="AE459">
        <v>3</v>
      </c>
      <c r="AU459" s="1">
        <v>35</v>
      </c>
      <c r="AV459" t="s">
        <v>1065</v>
      </c>
      <c r="AW459" s="1" t="s">
        <v>951</v>
      </c>
      <c r="AX459" s="1" t="s">
        <v>537</v>
      </c>
      <c r="AY459" s="2" t="s">
        <v>852</v>
      </c>
      <c r="AZ459" s="1" t="s">
        <v>409</v>
      </c>
      <c r="BA459" s="2" t="s">
        <v>1073</v>
      </c>
      <c r="BB459" s="1" t="s">
        <v>503</v>
      </c>
      <c r="BC459" s="1" t="s">
        <v>487</v>
      </c>
      <c r="BD459" s="2" t="s">
        <v>1074</v>
      </c>
    </row>
    <row r="460" spans="1:56" ht="15.75" customHeight="1">
      <c r="A460" s="2">
        <v>30092</v>
      </c>
      <c r="B460" s="2">
        <v>1</v>
      </c>
      <c r="C460">
        <v>1</v>
      </c>
      <c r="D460">
        <v>3</v>
      </c>
      <c r="E460" s="1">
        <v>3</v>
      </c>
      <c r="F460" s="1">
        <v>28</v>
      </c>
      <c r="G460" s="1">
        <v>62</v>
      </c>
      <c r="AA460" s="2">
        <v>6</v>
      </c>
      <c r="AE460">
        <v>3</v>
      </c>
      <c r="AU460" s="1">
        <v>35</v>
      </c>
      <c r="AV460" t="s">
        <v>1065</v>
      </c>
      <c r="AW460" s="1" t="s">
        <v>954</v>
      </c>
      <c r="AX460" s="1" t="s">
        <v>537</v>
      </c>
      <c r="AY460" s="2" t="s">
        <v>855</v>
      </c>
      <c r="AZ460" s="1" t="s">
        <v>409</v>
      </c>
      <c r="BA460" s="2" t="s">
        <v>1073</v>
      </c>
      <c r="BB460" s="1" t="s">
        <v>503</v>
      </c>
      <c r="BC460" s="1" t="s">
        <v>487</v>
      </c>
      <c r="BD460" s="2" t="s">
        <v>1074</v>
      </c>
    </row>
    <row r="461" spans="1:56" ht="15.75" customHeight="1">
      <c r="A461" s="2">
        <v>30092</v>
      </c>
      <c r="B461" s="2">
        <v>1</v>
      </c>
      <c r="C461">
        <v>1</v>
      </c>
      <c r="D461">
        <v>3</v>
      </c>
      <c r="E461" s="1">
        <v>4</v>
      </c>
      <c r="F461" s="1">
        <v>28</v>
      </c>
      <c r="G461" s="1">
        <v>65</v>
      </c>
      <c r="AA461" s="2">
        <v>6</v>
      </c>
      <c r="AE461">
        <v>4</v>
      </c>
      <c r="AU461" s="1">
        <v>40</v>
      </c>
      <c r="AV461" t="s">
        <v>1065</v>
      </c>
      <c r="AW461" s="1" t="s">
        <v>957</v>
      </c>
      <c r="AX461" s="1" t="s">
        <v>537</v>
      </c>
      <c r="AY461" s="2" t="s">
        <v>855</v>
      </c>
      <c r="AZ461" s="1" t="s">
        <v>1066</v>
      </c>
      <c r="BA461" s="2" t="s">
        <v>1073</v>
      </c>
      <c r="BB461" s="1" t="s">
        <v>510</v>
      </c>
      <c r="BC461" s="1" t="s">
        <v>487</v>
      </c>
      <c r="BD461" s="2" t="s">
        <v>1074</v>
      </c>
    </row>
    <row r="462" spans="1:56" ht="15.75" customHeight="1">
      <c r="A462" s="2">
        <v>30093</v>
      </c>
      <c r="B462" s="2">
        <v>2</v>
      </c>
      <c r="C462">
        <v>3</v>
      </c>
      <c r="D462">
        <v>3</v>
      </c>
      <c r="E462" s="1">
        <v>0</v>
      </c>
      <c r="F462" s="1">
        <v>21</v>
      </c>
      <c r="G462" s="1">
        <v>52</v>
      </c>
      <c r="O462">
        <v>12</v>
      </c>
      <c r="AA462" s="2">
        <v>5</v>
      </c>
      <c r="AU462" s="1">
        <v>30</v>
      </c>
      <c r="AV462" t="s">
        <v>1076</v>
      </c>
      <c r="AW462" s="1" t="s">
        <v>944</v>
      </c>
      <c r="AX462" s="1" t="s">
        <v>146</v>
      </c>
      <c r="AY462" s="1" t="s">
        <v>823</v>
      </c>
      <c r="AZ462" s="2" t="s">
        <v>889</v>
      </c>
      <c r="BA462" s="11" t="s">
        <v>1077</v>
      </c>
      <c r="BB462" s="1" t="s">
        <v>152</v>
      </c>
      <c r="BC462" s="1" t="s">
        <v>487</v>
      </c>
      <c r="BD462" s="11" t="s">
        <v>1078</v>
      </c>
    </row>
    <row r="463" spans="1:56" ht="15.75" customHeight="1">
      <c r="A463" s="2">
        <v>30093</v>
      </c>
      <c r="B463" s="2">
        <v>2</v>
      </c>
      <c r="C463">
        <v>3</v>
      </c>
      <c r="D463">
        <v>3</v>
      </c>
      <c r="E463" s="1">
        <v>1</v>
      </c>
      <c r="F463" s="1">
        <v>21</v>
      </c>
      <c r="G463" s="1">
        <v>55</v>
      </c>
      <c r="O463">
        <v>12</v>
      </c>
      <c r="AA463" s="2">
        <v>5</v>
      </c>
      <c r="AU463" s="1">
        <v>35</v>
      </c>
      <c r="AV463" t="s">
        <v>1076</v>
      </c>
      <c r="AW463" s="1" t="s">
        <v>947</v>
      </c>
      <c r="AX463" s="1" t="s">
        <v>146</v>
      </c>
      <c r="AY463" s="1" t="s">
        <v>823</v>
      </c>
      <c r="AZ463" s="2" t="s">
        <v>889</v>
      </c>
      <c r="BA463" s="11" t="s">
        <v>1077</v>
      </c>
      <c r="BB463" s="1" t="s">
        <v>478</v>
      </c>
      <c r="BC463" s="1" t="s">
        <v>487</v>
      </c>
      <c r="BD463" s="11" t="s">
        <v>1078</v>
      </c>
    </row>
    <row r="464" spans="1:56" ht="15.75" customHeight="1">
      <c r="A464" s="2">
        <v>30093</v>
      </c>
      <c r="B464" s="2">
        <v>2</v>
      </c>
      <c r="C464">
        <v>3</v>
      </c>
      <c r="D464">
        <v>3</v>
      </c>
      <c r="E464" s="1">
        <v>2</v>
      </c>
      <c r="F464" s="1">
        <v>28</v>
      </c>
      <c r="G464" s="1">
        <v>59</v>
      </c>
      <c r="O464">
        <v>12</v>
      </c>
      <c r="AA464" s="2">
        <v>5</v>
      </c>
      <c r="AU464" s="1">
        <v>35</v>
      </c>
      <c r="AV464" t="s">
        <v>1076</v>
      </c>
      <c r="AW464" s="1" t="s">
        <v>950</v>
      </c>
      <c r="AX464" s="1" t="s">
        <v>532</v>
      </c>
      <c r="AY464" s="1" t="s">
        <v>823</v>
      </c>
      <c r="AZ464" s="2" t="s">
        <v>889</v>
      </c>
      <c r="BA464" s="11" t="s">
        <v>1077</v>
      </c>
      <c r="BB464" s="1" t="s">
        <v>478</v>
      </c>
      <c r="BC464" s="1" t="s">
        <v>487</v>
      </c>
      <c r="BD464" s="11" t="s">
        <v>1078</v>
      </c>
    </row>
    <row r="465" spans="1:56" ht="15.75" customHeight="1">
      <c r="A465" s="2">
        <v>30093</v>
      </c>
      <c r="B465" s="2">
        <v>2</v>
      </c>
      <c r="C465">
        <v>3</v>
      </c>
      <c r="D465">
        <v>3</v>
      </c>
      <c r="E465" s="1">
        <v>3</v>
      </c>
      <c r="F465" s="1">
        <v>28</v>
      </c>
      <c r="G465" s="1">
        <v>62</v>
      </c>
      <c r="O465">
        <v>17</v>
      </c>
      <c r="AA465" s="2">
        <v>5</v>
      </c>
      <c r="AU465" s="1">
        <v>35</v>
      </c>
      <c r="AV465" t="s">
        <v>1076</v>
      </c>
      <c r="AW465" s="1" t="s">
        <v>953</v>
      </c>
      <c r="AX465" s="1" t="s">
        <v>532</v>
      </c>
      <c r="AY465" s="1" t="s">
        <v>828</v>
      </c>
      <c r="AZ465" s="2" t="s">
        <v>889</v>
      </c>
      <c r="BA465" s="11" t="s">
        <v>1077</v>
      </c>
      <c r="BB465" s="1" t="s">
        <v>478</v>
      </c>
      <c r="BC465" s="1" t="s">
        <v>487</v>
      </c>
      <c r="BD465" s="11" t="s">
        <v>1078</v>
      </c>
    </row>
    <row r="466" spans="1:56" ht="15.75" customHeight="1">
      <c r="A466" s="2">
        <v>30093</v>
      </c>
      <c r="B466" s="2">
        <v>2</v>
      </c>
      <c r="C466">
        <v>3</v>
      </c>
      <c r="D466">
        <v>3</v>
      </c>
      <c r="E466" s="1">
        <v>4</v>
      </c>
      <c r="F466" s="1">
        <v>28</v>
      </c>
      <c r="G466" s="1">
        <v>65</v>
      </c>
      <c r="O466">
        <v>17</v>
      </c>
      <c r="AA466" s="2">
        <v>6</v>
      </c>
      <c r="AU466" s="1">
        <v>40</v>
      </c>
      <c r="AV466" t="s">
        <v>1076</v>
      </c>
      <c r="AW466" s="1" t="s">
        <v>956</v>
      </c>
      <c r="AX466" s="1" t="s">
        <v>532</v>
      </c>
      <c r="AY466" s="1" t="s">
        <v>828</v>
      </c>
      <c r="AZ466" s="2" t="s">
        <v>893</v>
      </c>
      <c r="BA466" s="11" t="s">
        <v>1077</v>
      </c>
      <c r="BB466" s="1" t="s">
        <v>482</v>
      </c>
      <c r="BC466" s="1" t="s">
        <v>487</v>
      </c>
      <c r="BD466" s="11" t="s">
        <v>1078</v>
      </c>
    </row>
    <row r="467" spans="1:56" ht="15.75" customHeight="1">
      <c r="A467" s="2">
        <v>30094</v>
      </c>
      <c r="B467" s="2">
        <v>2</v>
      </c>
      <c r="C467">
        <v>2</v>
      </c>
      <c r="D467">
        <v>3</v>
      </c>
      <c r="E467" s="1">
        <v>0</v>
      </c>
      <c r="I467" s="1">
        <v>6.5000000000000002E-2</v>
      </c>
      <c r="K467" s="1">
        <v>13</v>
      </c>
      <c r="O467">
        <v>12</v>
      </c>
      <c r="AR467" s="2">
        <v>11</v>
      </c>
      <c r="AU467" s="1">
        <v>30</v>
      </c>
      <c r="AV467" t="s">
        <v>1079</v>
      </c>
      <c r="AW467" s="1" t="s">
        <v>484</v>
      </c>
      <c r="AX467" s="1" t="s">
        <v>151</v>
      </c>
      <c r="AY467" s="2" t="s">
        <v>447</v>
      </c>
      <c r="AZ467" s="1" t="s">
        <v>823</v>
      </c>
      <c r="BA467" s="11" t="s">
        <v>1082</v>
      </c>
      <c r="BB467" s="1" t="s">
        <v>152</v>
      </c>
      <c r="BC467" s="1" t="s">
        <v>487</v>
      </c>
      <c r="BD467" s="11" t="s">
        <v>1083</v>
      </c>
    </row>
    <row r="468" spans="1:56" ht="15.75" customHeight="1">
      <c r="A468" s="2">
        <v>30094</v>
      </c>
      <c r="B468" s="2">
        <v>2</v>
      </c>
      <c r="C468">
        <v>2</v>
      </c>
      <c r="D468">
        <v>3</v>
      </c>
      <c r="E468" s="1">
        <v>1</v>
      </c>
      <c r="I468" s="1">
        <v>7.0000000000000007E-2</v>
      </c>
      <c r="K468" s="1">
        <v>13</v>
      </c>
      <c r="O468">
        <v>12</v>
      </c>
      <c r="AR468" s="2">
        <v>11</v>
      </c>
      <c r="AU468" s="1">
        <v>35</v>
      </c>
      <c r="AV468" t="s">
        <v>1079</v>
      </c>
      <c r="AW468" s="1" t="s">
        <v>489</v>
      </c>
      <c r="AX468" s="1" t="s">
        <v>151</v>
      </c>
      <c r="AY468" s="2" t="s">
        <v>447</v>
      </c>
      <c r="AZ468" s="1" t="s">
        <v>823</v>
      </c>
      <c r="BA468" s="11" t="s">
        <v>1082</v>
      </c>
      <c r="BB468" s="1" t="s">
        <v>478</v>
      </c>
      <c r="BC468" s="1" t="s">
        <v>487</v>
      </c>
      <c r="BD468" s="11" t="s">
        <v>1083</v>
      </c>
    </row>
    <row r="469" spans="1:56" ht="15.75" customHeight="1">
      <c r="A469" s="2">
        <v>30094</v>
      </c>
      <c r="B469" s="2">
        <v>2</v>
      </c>
      <c r="C469">
        <v>2</v>
      </c>
      <c r="D469">
        <v>3</v>
      </c>
      <c r="E469" s="1">
        <v>2</v>
      </c>
      <c r="I469" s="1">
        <v>7.4999999999999997E-2</v>
      </c>
      <c r="K469" s="1">
        <v>17</v>
      </c>
      <c r="O469">
        <v>12</v>
      </c>
      <c r="AR469" s="2">
        <v>11</v>
      </c>
      <c r="AU469" s="1">
        <v>35</v>
      </c>
      <c r="AV469" t="s">
        <v>1079</v>
      </c>
      <c r="AW469" s="1" t="s">
        <v>490</v>
      </c>
      <c r="AX469" s="1" t="s">
        <v>493</v>
      </c>
      <c r="AY469" s="2" t="s">
        <v>447</v>
      </c>
      <c r="AZ469" s="1" t="s">
        <v>823</v>
      </c>
      <c r="BA469" s="11" t="s">
        <v>1082</v>
      </c>
      <c r="BB469" s="1" t="s">
        <v>478</v>
      </c>
      <c r="BC469" s="1" t="s">
        <v>487</v>
      </c>
      <c r="BD469" s="11" t="s">
        <v>1083</v>
      </c>
    </row>
    <row r="470" spans="1:56" ht="15.75" customHeight="1">
      <c r="A470" s="2">
        <v>30094</v>
      </c>
      <c r="B470" s="2">
        <v>2</v>
      </c>
      <c r="C470">
        <v>2</v>
      </c>
      <c r="D470">
        <v>3</v>
      </c>
      <c r="E470" s="1">
        <v>3</v>
      </c>
      <c r="I470" s="1">
        <v>0.08</v>
      </c>
      <c r="K470" s="1">
        <v>17</v>
      </c>
      <c r="O470">
        <v>12</v>
      </c>
      <c r="AR470" s="2">
        <v>15</v>
      </c>
      <c r="AU470" s="1">
        <v>35</v>
      </c>
      <c r="AV470" t="s">
        <v>1079</v>
      </c>
      <c r="AW470" s="1" t="s">
        <v>492</v>
      </c>
      <c r="AX470" s="1" t="s">
        <v>493</v>
      </c>
      <c r="AY470" s="2" t="s">
        <v>1081</v>
      </c>
      <c r="AZ470" s="1" t="s">
        <v>823</v>
      </c>
      <c r="BA470" s="11" t="s">
        <v>1082</v>
      </c>
      <c r="BB470" s="1" t="s">
        <v>478</v>
      </c>
      <c r="BC470" s="1" t="s">
        <v>487</v>
      </c>
      <c r="BD470" s="11" t="s">
        <v>1083</v>
      </c>
    </row>
    <row r="471" spans="1:56" ht="15.75" customHeight="1">
      <c r="A471" s="2">
        <v>30094</v>
      </c>
      <c r="B471" s="2">
        <v>2</v>
      </c>
      <c r="C471">
        <v>2</v>
      </c>
      <c r="D471">
        <v>3</v>
      </c>
      <c r="E471" s="1">
        <v>4</v>
      </c>
      <c r="I471" s="1">
        <v>8.5000000000000006E-2</v>
      </c>
      <c r="K471" s="1">
        <v>17</v>
      </c>
      <c r="O471">
        <v>17</v>
      </c>
      <c r="AR471" s="2">
        <v>15</v>
      </c>
      <c r="AU471" s="1">
        <v>40</v>
      </c>
      <c r="AV471" t="s">
        <v>1079</v>
      </c>
      <c r="AW471" s="1" t="s">
        <v>494</v>
      </c>
      <c r="AX471" s="1" t="s">
        <v>493</v>
      </c>
      <c r="AY471" s="2" t="s">
        <v>1081</v>
      </c>
      <c r="AZ471" s="1" t="s">
        <v>828</v>
      </c>
      <c r="BA471" s="11" t="s">
        <v>1082</v>
      </c>
      <c r="BB471" s="1" t="s">
        <v>482</v>
      </c>
      <c r="BC471" s="1" t="s">
        <v>487</v>
      </c>
      <c r="BD471" s="11" t="s">
        <v>1083</v>
      </c>
    </row>
    <row r="472" spans="1:56" ht="15.75" customHeight="1">
      <c r="A472" s="2">
        <v>30095</v>
      </c>
      <c r="B472" s="2">
        <v>1</v>
      </c>
      <c r="C472">
        <v>3</v>
      </c>
      <c r="D472">
        <v>3</v>
      </c>
      <c r="E472" s="1">
        <v>0</v>
      </c>
      <c r="I472" s="1">
        <v>6.5000000000000002E-2</v>
      </c>
      <c r="X472">
        <v>5</v>
      </c>
      <c r="AT472">
        <v>11</v>
      </c>
      <c r="AU472" s="1">
        <v>30</v>
      </c>
      <c r="AV472" t="s">
        <v>1084</v>
      </c>
      <c r="AW472" s="1" t="s">
        <v>497</v>
      </c>
      <c r="AX472" s="1" t="s">
        <v>840</v>
      </c>
      <c r="AY472" s="11" t="s">
        <v>1099</v>
      </c>
      <c r="AZ472" s="1" t="s">
        <v>1085</v>
      </c>
      <c r="BA472" s="11" t="s">
        <v>1103</v>
      </c>
      <c r="BB472" s="1" t="s">
        <v>214</v>
      </c>
      <c r="BC472" s="1" t="s">
        <v>476</v>
      </c>
      <c r="BD472" s="11" t="s">
        <v>1104</v>
      </c>
    </row>
    <row r="473" spans="1:56" ht="15.75" customHeight="1">
      <c r="A473" s="2">
        <v>30095</v>
      </c>
      <c r="B473" s="2">
        <v>1</v>
      </c>
      <c r="C473">
        <v>3</v>
      </c>
      <c r="D473">
        <v>3</v>
      </c>
      <c r="E473" s="1">
        <v>1</v>
      </c>
      <c r="I473" s="1">
        <v>7.0000000000000007E-2</v>
      </c>
      <c r="X473">
        <v>5</v>
      </c>
      <c r="AT473">
        <v>11</v>
      </c>
      <c r="AU473" s="1">
        <v>35</v>
      </c>
      <c r="AV473" t="s">
        <v>1084</v>
      </c>
      <c r="AW473" s="1" t="s">
        <v>502</v>
      </c>
      <c r="AX473" s="1" t="s">
        <v>840</v>
      </c>
      <c r="AY473" s="11" t="s">
        <v>1099</v>
      </c>
      <c r="AZ473" s="1" t="s">
        <v>1085</v>
      </c>
      <c r="BA473" s="11" t="s">
        <v>1103</v>
      </c>
      <c r="BB473" s="1" t="s">
        <v>503</v>
      </c>
      <c r="BC473" s="1" t="s">
        <v>476</v>
      </c>
      <c r="BD473" s="11" t="s">
        <v>1104</v>
      </c>
    </row>
    <row r="474" spans="1:56" ht="15.75" customHeight="1">
      <c r="A474" s="2">
        <v>30095</v>
      </c>
      <c r="B474" s="2">
        <v>1</v>
      </c>
      <c r="C474">
        <v>3</v>
      </c>
      <c r="D474">
        <v>3</v>
      </c>
      <c r="E474" s="1">
        <v>2</v>
      </c>
      <c r="I474" s="1">
        <v>7.4999999999999997E-2</v>
      </c>
      <c r="X474">
        <v>5</v>
      </c>
      <c r="AT474">
        <v>11</v>
      </c>
      <c r="AU474" s="1">
        <v>35</v>
      </c>
      <c r="AV474" t="s">
        <v>1084</v>
      </c>
      <c r="AW474" s="1" t="s">
        <v>504</v>
      </c>
      <c r="AX474" s="1" t="s">
        <v>232</v>
      </c>
      <c r="AY474" s="11" t="s">
        <v>1099</v>
      </c>
      <c r="AZ474" s="1" t="s">
        <v>1085</v>
      </c>
      <c r="BA474" s="11" t="s">
        <v>1103</v>
      </c>
      <c r="BB474" s="1" t="s">
        <v>503</v>
      </c>
      <c r="BC474" s="1" t="s">
        <v>476</v>
      </c>
      <c r="BD474" s="11" t="s">
        <v>1104</v>
      </c>
    </row>
    <row r="475" spans="1:56" ht="15.75" customHeight="1">
      <c r="A475" s="2">
        <v>30095</v>
      </c>
      <c r="B475" s="2">
        <v>1</v>
      </c>
      <c r="C475">
        <v>3</v>
      </c>
      <c r="D475">
        <v>3</v>
      </c>
      <c r="E475" s="1">
        <v>3</v>
      </c>
      <c r="I475" s="1">
        <v>0.08</v>
      </c>
      <c r="X475">
        <v>5</v>
      </c>
      <c r="AT475">
        <v>17</v>
      </c>
      <c r="AU475" s="1">
        <v>35</v>
      </c>
      <c r="AV475" t="s">
        <v>1084</v>
      </c>
      <c r="AW475" s="1" t="s">
        <v>506</v>
      </c>
      <c r="AX475" s="1" t="s">
        <v>232</v>
      </c>
      <c r="AY475" s="11" t="s">
        <v>1099</v>
      </c>
      <c r="AZ475" s="1" t="s">
        <v>1086</v>
      </c>
      <c r="BA475" s="11" t="s">
        <v>1103</v>
      </c>
      <c r="BB475" s="1" t="s">
        <v>503</v>
      </c>
      <c r="BC475" s="1" t="s">
        <v>476</v>
      </c>
      <c r="BD475" s="11" t="s">
        <v>1104</v>
      </c>
    </row>
    <row r="476" spans="1:56" ht="15.75" customHeight="1">
      <c r="A476" s="2">
        <v>30095</v>
      </c>
      <c r="B476" s="2">
        <v>1</v>
      </c>
      <c r="C476">
        <v>3</v>
      </c>
      <c r="D476">
        <v>3</v>
      </c>
      <c r="E476" s="1">
        <v>4</v>
      </c>
      <c r="I476" s="1">
        <v>8.5000000000000006E-2</v>
      </c>
      <c r="X476">
        <v>7</v>
      </c>
      <c r="AT476">
        <v>17</v>
      </c>
      <c r="AU476" s="1">
        <v>40</v>
      </c>
      <c r="AV476" t="s">
        <v>1084</v>
      </c>
      <c r="AW476" s="1" t="s">
        <v>508</v>
      </c>
      <c r="AX476" s="1" t="s">
        <v>232</v>
      </c>
      <c r="AY476" s="2" t="s">
        <v>1100</v>
      </c>
      <c r="AZ476" s="1" t="s">
        <v>1086</v>
      </c>
      <c r="BA476" s="11" t="s">
        <v>1103</v>
      </c>
      <c r="BB476" s="1" t="s">
        <v>510</v>
      </c>
      <c r="BC476" s="1" t="s">
        <v>476</v>
      </c>
      <c r="BD476" s="11" t="s">
        <v>1104</v>
      </c>
    </row>
    <row r="477" spans="1:56" ht="15.75" customHeight="1">
      <c r="A477" s="2">
        <v>30096</v>
      </c>
      <c r="B477" s="2">
        <v>2</v>
      </c>
      <c r="C477">
        <v>1</v>
      </c>
      <c r="D477">
        <v>3</v>
      </c>
      <c r="E477" s="1">
        <v>0</v>
      </c>
      <c r="F477" s="1">
        <v>21</v>
      </c>
      <c r="G477" s="1">
        <v>52</v>
      </c>
      <c r="L477">
        <v>15</v>
      </c>
      <c r="AD477">
        <v>3</v>
      </c>
      <c r="AU477" s="1">
        <v>30</v>
      </c>
      <c r="AV477" t="s">
        <v>1105</v>
      </c>
      <c r="AW477" s="1" t="s">
        <v>944</v>
      </c>
      <c r="AX477" s="1" t="s">
        <v>146</v>
      </c>
      <c r="AY477" s="1" t="s">
        <v>1110</v>
      </c>
      <c r="AZ477" s="2" t="s">
        <v>871</v>
      </c>
      <c r="BA477" s="11" t="s">
        <v>1113</v>
      </c>
      <c r="BB477" s="1" t="s">
        <v>152</v>
      </c>
      <c r="BC477" s="1" t="s">
        <v>487</v>
      </c>
      <c r="BD477" s="11" t="s">
        <v>1114</v>
      </c>
    </row>
    <row r="478" spans="1:56" ht="15.75" customHeight="1">
      <c r="A478" s="2">
        <v>30096</v>
      </c>
      <c r="B478" s="2">
        <v>2</v>
      </c>
      <c r="C478">
        <v>1</v>
      </c>
      <c r="D478">
        <v>3</v>
      </c>
      <c r="E478" s="1">
        <v>1</v>
      </c>
      <c r="F478" s="1">
        <v>21</v>
      </c>
      <c r="G478" s="1">
        <v>55</v>
      </c>
      <c r="L478">
        <v>15</v>
      </c>
      <c r="AD478">
        <v>3</v>
      </c>
      <c r="AU478" s="1">
        <v>35</v>
      </c>
      <c r="AV478" t="s">
        <v>1105</v>
      </c>
      <c r="AW478" s="1" t="s">
        <v>947</v>
      </c>
      <c r="AX478" s="1" t="s">
        <v>146</v>
      </c>
      <c r="AY478" s="1" t="s">
        <v>1110</v>
      </c>
      <c r="AZ478" s="2" t="s">
        <v>871</v>
      </c>
      <c r="BA478" s="11" t="s">
        <v>1113</v>
      </c>
      <c r="BB478" s="1" t="s">
        <v>478</v>
      </c>
      <c r="BC478" s="1" t="s">
        <v>487</v>
      </c>
      <c r="BD478" s="11" t="s">
        <v>1114</v>
      </c>
    </row>
    <row r="479" spans="1:56" ht="15.75" customHeight="1">
      <c r="A479" s="2">
        <v>30096</v>
      </c>
      <c r="B479" s="2">
        <v>2</v>
      </c>
      <c r="C479">
        <v>1</v>
      </c>
      <c r="D479">
        <v>3</v>
      </c>
      <c r="E479" s="1">
        <v>2</v>
      </c>
      <c r="F479" s="1">
        <v>28</v>
      </c>
      <c r="G479" s="1">
        <v>59</v>
      </c>
      <c r="L479">
        <v>15</v>
      </c>
      <c r="AD479">
        <v>3</v>
      </c>
      <c r="AU479" s="1">
        <v>35</v>
      </c>
      <c r="AV479" t="s">
        <v>1105</v>
      </c>
      <c r="AW479" s="1" t="s">
        <v>950</v>
      </c>
      <c r="AX479" s="1" t="s">
        <v>532</v>
      </c>
      <c r="AY479" s="1" t="s">
        <v>1110</v>
      </c>
      <c r="AZ479" s="2" t="s">
        <v>871</v>
      </c>
      <c r="BA479" s="11" t="s">
        <v>1113</v>
      </c>
      <c r="BB479" s="1" t="s">
        <v>478</v>
      </c>
      <c r="BC479" s="1" t="s">
        <v>487</v>
      </c>
      <c r="BD479" s="11" t="s">
        <v>1114</v>
      </c>
    </row>
    <row r="480" spans="1:56" ht="15.75" customHeight="1">
      <c r="A480" s="2">
        <v>30096</v>
      </c>
      <c r="B480" s="2">
        <v>2</v>
      </c>
      <c r="C480">
        <v>1</v>
      </c>
      <c r="D480">
        <v>3</v>
      </c>
      <c r="E480" s="1">
        <v>3</v>
      </c>
      <c r="F480" s="1">
        <v>28</v>
      </c>
      <c r="G480" s="1">
        <v>62</v>
      </c>
      <c r="L480">
        <v>15</v>
      </c>
      <c r="AD480">
        <v>4</v>
      </c>
      <c r="AU480" s="1">
        <v>35</v>
      </c>
      <c r="AV480" t="s">
        <v>1105</v>
      </c>
      <c r="AW480" s="1" t="s">
        <v>953</v>
      </c>
      <c r="AX480" s="1" t="s">
        <v>532</v>
      </c>
      <c r="AY480" s="1" t="s">
        <v>1112</v>
      </c>
      <c r="AZ480" s="2" t="s">
        <v>871</v>
      </c>
      <c r="BA480" s="11" t="s">
        <v>1113</v>
      </c>
      <c r="BB480" s="1" t="s">
        <v>478</v>
      </c>
      <c r="BC480" s="1" t="s">
        <v>487</v>
      </c>
      <c r="BD480" s="11" t="s">
        <v>1114</v>
      </c>
    </row>
    <row r="481" spans="1:56" ht="15.75" customHeight="1">
      <c r="A481" s="2">
        <v>30096</v>
      </c>
      <c r="B481" s="2">
        <v>2</v>
      </c>
      <c r="C481">
        <v>1</v>
      </c>
      <c r="D481">
        <v>3</v>
      </c>
      <c r="E481" s="1">
        <v>4</v>
      </c>
      <c r="F481" s="1">
        <v>28</v>
      </c>
      <c r="G481" s="1">
        <v>65</v>
      </c>
      <c r="L481">
        <v>21</v>
      </c>
      <c r="AD481">
        <v>4</v>
      </c>
      <c r="AU481" s="1">
        <v>40</v>
      </c>
      <c r="AV481" t="s">
        <v>1105</v>
      </c>
      <c r="AW481" s="1" t="s">
        <v>956</v>
      </c>
      <c r="AX481" s="1" t="s">
        <v>532</v>
      </c>
      <c r="AY481" s="1" t="s">
        <v>1112</v>
      </c>
      <c r="AZ481" s="2" t="s">
        <v>874</v>
      </c>
      <c r="BA481" s="11" t="s">
        <v>1113</v>
      </c>
      <c r="BB481" s="1" t="s">
        <v>482</v>
      </c>
      <c r="BC481" s="1" t="s">
        <v>487</v>
      </c>
      <c r="BD481" s="11" t="s">
        <v>1114</v>
      </c>
    </row>
    <row r="482" spans="1:56" ht="15.75" customHeight="1">
      <c r="A482" s="2">
        <v>30097</v>
      </c>
      <c r="B482" s="2">
        <v>1</v>
      </c>
      <c r="C482">
        <v>2</v>
      </c>
      <c r="D482">
        <v>3</v>
      </c>
      <c r="E482" s="1">
        <v>0</v>
      </c>
      <c r="I482" s="1">
        <v>6.5000000000000002E-2</v>
      </c>
      <c r="K482" s="1">
        <v>13</v>
      </c>
      <c r="L482">
        <v>15</v>
      </c>
      <c r="AA482" s="2">
        <v>5</v>
      </c>
      <c r="AU482" s="1">
        <v>30</v>
      </c>
      <c r="AV482" t="s">
        <v>1115</v>
      </c>
      <c r="AW482" s="1" t="s">
        <v>497</v>
      </c>
      <c r="AX482" s="2" t="s">
        <v>967</v>
      </c>
      <c r="AY482" s="1" t="s">
        <v>221</v>
      </c>
      <c r="AZ482" s="2" t="s">
        <v>852</v>
      </c>
      <c r="BA482" s="11" t="s">
        <v>1116</v>
      </c>
      <c r="BB482" s="1" t="s">
        <v>214</v>
      </c>
      <c r="BC482" s="1" t="s">
        <v>487</v>
      </c>
      <c r="BD482" s="11" t="s">
        <v>1117</v>
      </c>
    </row>
    <row r="483" spans="1:56" ht="15.75" customHeight="1">
      <c r="A483" s="2">
        <v>30097</v>
      </c>
      <c r="B483" s="2">
        <v>1</v>
      </c>
      <c r="C483">
        <v>2</v>
      </c>
      <c r="D483">
        <v>3</v>
      </c>
      <c r="E483" s="1">
        <v>1</v>
      </c>
      <c r="I483" s="1">
        <v>7.0000000000000007E-2</v>
      </c>
      <c r="K483" s="1">
        <v>13</v>
      </c>
      <c r="L483">
        <v>15</v>
      </c>
      <c r="AA483" s="2">
        <v>5</v>
      </c>
      <c r="AU483" s="1">
        <v>35</v>
      </c>
      <c r="AV483" t="s">
        <v>1115</v>
      </c>
      <c r="AW483" s="1" t="s">
        <v>502</v>
      </c>
      <c r="AX483" s="2" t="s">
        <v>967</v>
      </c>
      <c r="AY483" s="1" t="s">
        <v>221</v>
      </c>
      <c r="AZ483" s="2" t="s">
        <v>852</v>
      </c>
      <c r="BA483" s="11" t="s">
        <v>1116</v>
      </c>
      <c r="BB483" s="1" t="s">
        <v>503</v>
      </c>
      <c r="BC483" s="1" t="s">
        <v>487</v>
      </c>
      <c r="BD483" s="11" t="s">
        <v>1117</v>
      </c>
    </row>
    <row r="484" spans="1:56" ht="15.75" customHeight="1">
      <c r="A484" s="2">
        <v>30097</v>
      </c>
      <c r="B484" s="2">
        <v>1</v>
      </c>
      <c r="C484">
        <v>2</v>
      </c>
      <c r="D484">
        <v>3</v>
      </c>
      <c r="E484" s="1">
        <v>2</v>
      </c>
      <c r="I484" s="1">
        <v>7.4999999999999997E-2</v>
      </c>
      <c r="K484" s="1">
        <v>13</v>
      </c>
      <c r="L484">
        <v>21</v>
      </c>
      <c r="AA484" s="2">
        <v>5</v>
      </c>
      <c r="AU484" s="1">
        <v>35</v>
      </c>
      <c r="AV484" t="s">
        <v>1115</v>
      </c>
      <c r="AW484" s="1" t="s">
        <v>504</v>
      </c>
      <c r="AX484" s="2" t="s">
        <v>968</v>
      </c>
      <c r="AY484" s="1" t="s">
        <v>221</v>
      </c>
      <c r="AZ484" s="2" t="s">
        <v>852</v>
      </c>
      <c r="BA484" s="11" t="s">
        <v>1116</v>
      </c>
      <c r="BB484" s="1" t="s">
        <v>503</v>
      </c>
      <c r="BC484" s="1" t="s">
        <v>487</v>
      </c>
      <c r="BD484" s="11" t="s">
        <v>1117</v>
      </c>
    </row>
    <row r="485" spans="1:56" ht="15.75" customHeight="1">
      <c r="A485" s="2">
        <v>30097</v>
      </c>
      <c r="B485" s="2">
        <v>1</v>
      </c>
      <c r="C485">
        <v>2</v>
      </c>
      <c r="D485">
        <v>3</v>
      </c>
      <c r="E485" s="1">
        <v>3</v>
      </c>
      <c r="I485" s="1">
        <v>0.08</v>
      </c>
      <c r="K485" s="1">
        <v>17</v>
      </c>
      <c r="L485">
        <v>21</v>
      </c>
      <c r="AA485" s="2">
        <v>5</v>
      </c>
      <c r="AU485" s="1">
        <v>35</v>
      </c>
      <c r="AV485" t="s">
        <v>1115</v>
      </c>
      <c r="AW485" s="1" t="s">
        <v>506</v>
      </c>
      <c r="AX485" s="2" t="s">
        <v>968</v>
      </c>
      <c r="AY485" s="1" t="s">
        <v>538</v>
      </c>
      <c r="AZ485" s="2" t="s">
        <v>852</v>
      </c>
      <c r="BA485" s="11" t="s">
        <v>1116</v>
      </c>
      <c r="BB485" s="1" t="s">
        <v>503</v>
      </c>
      <c r="BC485" s="1" t="s">
        <v>487</v>
      </c>
      <c r="BD485" s="11" t="s">
        <v>1117</v>
      </c>
    </row>
    <row r="486" spans="1:56" ht="15.75" customHeight="1">
      <c r="A486" s="2">
        <v>30097</v>
      </c>
      <c r="B486" s="2">
        <v>1</v>
      </c>
      <c r="C486">
        <v>2</v>
      </c>
      <c r="D486">
        <v>3</v>
      </c>
      <c r="E486" s="1">
        <v>4</v>
      </c>
      <c r="I486" s="1">
        <v>8.5000000000000006E-2</v>
      </c>
      <c r="K486" s="1">
        <v>17</v>
      </c>
      <c r="L486">
        <v>21</v>
      </c>
      <c r="AA486" s="2">
        <v>6</v>
      </c>
      <c r="AU486" s="1">
        <v>40</v>
      </c>
      <c r="AV486" t="s">
        <v>1115</v>
      </c>
      <c r="AW486" s="1" t="s">
        <v>508</v>
      </c>
      <c r="AX486" s="2" t="s">
        <v>968</v>
      </c>
      <c r="AY486" s="1" t="s">
        <v>538</v>
      </c>
      <c r="AZ486" s="2" t="s">
        <v>855</v>
      </c>
      <c r="BA486" s="11" t="s">
        <v>1116</v>
      </c>
      <c r="BB486" s="1" t="s">
        <v>510</v>
      </c>
      <c r="BC486" s="1" t="s">
        <v>487</v>
      </c>
      <c r="BD486" s="11" t="s">
        <v>1117</v>
      </c>
    </row>
    <row r="487" spans="1:56" ht="15.75" customHeight="1">
      <c r="A487" s="2">
        <v>30098</v>
      </c>
      <c r="B487" s="2">
        <v>0</v>
      </c>
      <c r="C487">
        <v>3</v>
      </c>
      <c r="D487">
        <v>3</v>
      </c>
      <c r="E487" s="1">
        <v>0</v>
      </c>
      <c r="F487" s="1">
        <v>21</v>
      </c>
      <c r="G487" s="1">
        <v>52</v>
      </c>
      <c r="L487">
        <v>15</v>
      </c>
      <c r="AA487" s="2">
        <v>5</v>
      </c>
      <c r="AU487" s="1">
        <v>30</v>
      </c>
      <c r="AV487" t="s">
        <v>1118</v>
      </c>
      <c r="AW487" s="1" t="s">
        <v>946</v>
      </c>
      <c r="AX487" s="1" t="s">
        <v>161</v>
      </c>
      <c r="AY487" s="2" t="s">
        <v>463</v>
      </c>
      <c r="AZ487" s="2" t="s">
        <v>439</v>
      </c>
      <c r="BA487" s="11" t="s">
        <v>1119</v>
      </c>
      <c r="BB487" s="1" t="s">
        <v>167</v>
      </c>
      <c r="BC487" s="1" t="s">
        <v>487</v>
      </c>
      <c r="BD487" s="11" t="s">
        <v>1120</v>
      </c>
    </row>
    <row r="488" spans="1:56" ht="15.75" customHeight="1">
      <c r="A488" s="2">
        <v>30098</v>
      </c>
      <c r="B488" s="2">
        <v>0</v>
      </c>
      <c r="C488">
        <v>3</v>
      </c>
      <c r="D488">
        <v>3</v>
      </c>
      <c r="E488" s="1">
        <v>1</v>
      </c>
      <c r="F488" s="1">
        <v>21</v>
      </c>
      <c r="G488" s="1">
        <v>55</v>
      </c>
      <c r="L488">
        <v>15</v>
      </c>
      <c r="AA488" s="2">
        <v>5</v>
      </c>
      <c r="AU488" s="1">
        <v>35</v>
      </c>
      <c r="AV488" t="s">
        <v>1118</v>
      </c>
      <c r="AW488" s="1" t="s">
        <v>949</v>
      </c>
      <c r="AX488" s="1" t="s">
        <v>161</v>
      </c>
      <c r="AY488" s="2" t="s">
        <v>463</v>
      </c>
      <c r="AZ488" s="2" t="s">
        <v>439</v>
      </c>
      <c r="BA488" s="11" t="s">
        <v>1119</v>
      </c>
      <c r="BB488" s="1" t="s">
        <v>516</v>
      </c>
      <c r="BC488" s="1" t="s">
        <v>487</v>
      </c>
      <c r="BD488" s="11" t="s">
        <v>1120</v>
      </c>
    </row>
    <row r="489" spans="1:56" ht="15.75" customHeight="1">
      <c r="A489" s="2">
        <v>30098</v>
      </c>
      <c r="B489" s="2">
        <v>0</v>
      </c>
      <c r="C489">
        <v>3</v>
      </c>
      <c r="D489">
        <v>3</v>
      </c>
      <c r="E489" s="1">
        <v>2</v>
      </c>
      <c r="F489" s="1">
        <v>28</v>
      </c>
      <c r="G489" s="1">
        <v>59</v>
      </c>
      <c r="L489">
        <v>15</v>
      </c>
      <c r="AA489" s="2">
        <v>5</v>
      </c>
      <c r="AU489" s="1">
        <v>35</v>
      </c>
      <c r="AV489" t="s">
        <v>1118</v>
      </c>
      <c r="AW489" s="1" t="s">
        <v>952</v>
      </c>
      <c r="AX489" s="1" t="s">
        <v>544</v>
      </c>
      <c r="AY489" s="2" t="s">
        <v>463</v>
      </c>
      <c r="AZ489" s="2" t="s">
        <v>439</v>
      </c>
      <c r="BA489" s="11" t="s">
        <v>1119</v>
      </c>
      <c r="BB489" s="1" t="s">
        <v>516</v>
      </c>
      <c r="BC489" s="1" t="s">
        <v>487</v>
      </c>
      <c r="BD489" s="11" t="s">
        <v>1120</v>
      </c>
    </row>
    <row r="490" spans="1:56" ht="15.75" customHeight="1">
      <c r="A490" s="2">
        <v>30098</v>
      </c>
      <c r="B490" s="2">
        <v>0</v>
      </c>
      <c r="C490">
        <v>3</v>
      </c>
      <c r="D490">
        <v>3</v>
      </c>
      <c r="E490" s="1">
        <v>3</v>
      </c>
      <c r="F490" s="1">
        <v>28</v>
      </c>
      <c r="G490" s="1">
        <v>62</v>
      </c>
      <c r="L490">
        <v>21</v>
      </c>
      <c r="AA490" s="2">
        <v>5</v>
      </c>
      <c r="AU490" s="1">
        <v>35</v>
      </c>
      <c r="AV490" t="s">
        <v>1118</v>
      </c>
      <c r="AW490" s="1" t="s">
        <v>955</v>
      </c>
      <c r="AX490" s="1" t="s">
        <v>544</v>
      </c>
      <c r="AY490" s="2" t="s">
        <v>880</v>
      </c>
      <c r="AZ490" s="2" t="s">
        <v>439</v>
      </c>
      <c r="BA490" s="11" t="s">
        <v>1119</v>
      </c>
      <c r="BB490" s="1" t="s">
        <v>516</v>
      </c>
      <c r="BC490" s="1" t="s">
        <v>487</v>
      </c>
      <c r="BD490" s="11" t="s">
        <v>1120</v>
      </c>
    </row>
    <row r="491" spans="1:56" ht="15.75" customHeight="1">
      <c r="A491" s="2">
        <v>30098</v>
      </c>
      <c r="B491" s="2">
        <v>0</v>
      </c>
      <c r="C491">
        <v>3</v>
      </c>
      <c r="D491">
        <v>3</v>
      </c>
      <c r="E491" s="1">
        <v>4</v>
      </c>
      <c r="F491" s="1">
        <v>28</v>
      </c>
      <c r="G491" s="1">
        <v>65</v>
      </c>
      <c r="L491">
        <v>21</v>
      </c>
      <c r="AA491" s="2">
        <v>6</v>
      </c>
      <c r="AU491" s="1">
        <v>40</v>
      </c>
      <c r="AV491" t="s">
        <v>1118</v>
      </c>
      <c r="AW491" s="1" t="s">
        <v>958</v>
      </c>
      <c r="AX491" s="1" t="s">
        <v>544</v>
      </c>
      <c r="AY491" s="2" t="s">
        <v>880</v>
      </c>
      <c r="AZ491" s="2" t="s">
        <v>1000</v>
      </c>
      <c r="BA491" s="11" t="s">
        <v>1119</v>
      </c>
      <c r="BB491" s="1" t="s">
        <v>522</v>
      </c>
      <c r="BC491" s="1" t="s">
        <v>487</v>
      </c>
      <c r="BD491" s="11" t="s">
        <v>1120</v>
      </c>
    </row>
    <row r="492" spans="1:56" ht="15.75" customHeight="1">
      <c r="A492" s="2">
        <v>30099</v>
      </c>
      <c r="B492" s="2">
        <v>2</v>
      </c>
      <c r="C492">
        <v>1</v>
      </c>
      <c r="D492">
        <v>3</v>
      </c>
      <c r="E492" s="1">
        <v>0</v>
      </c>
      <c r="I492" s="1">
        <v>6.5000000000000002E-2</v>
      </c>
      <c r="K492" s="1">
        <v>13</v>
      </c>
      <c r="R492">
        <v>28</v>
      </c>
      <c r="AT492">
        <v>17</v>
      </c>
      <c r="AU492" s="1">
        <v>30</v>
      </c>
      <c r="AV492" t="s">
        <v>1130</v>
      </c>
      <c r="AW492" s="1" t="s">
        <v>484</v>
      </c>
      <c r="AX492" s="1" t="s">
        <v>1093</v>
      </c>
      <c r="AY492" s="1" t="s">
        <v>1126</v>
      </c>
      <c r="AZ492" s="1" t="s">
        <v>151</v>
      </c>
      <c r="BA492" s="11" t="s">
        <v>1128</v>
      </c>
      <c r="BB492" s="1" t="s">
        <v>152</v>
      </c>
      <c r="BC492" s="1" t="s">
        <v>487</v>
      </c>
      <c r="BD492" t="s">
        <v>1129</v>
      </c>
    </row>
    <row r="493" spans="1:56" ht="15.75" customHeight="1">
      <c r="A493" s="2">
        <v>30099</v>
      </c>
      <c r="B493" s="2">
        <v>2</v>
      </c>
      <c r="C493">
        <v>1</v>
      </c>
      <c r="D493">
        <v>3</v>
      </c>
      <c r="E493" s="1">
        <v>1</v>
      </c>
      <c r="I493" s="1">
        <v>7.0000000000000007E-2</v>
      </c>
      <c r="K493" s="1">
        <v>13</v>
      </c>
      <c r="R493">
        <v>28</v>
      </c>
      <c r="AT493">
        <v>17</v>
      </c>
      <c r="AU493" s="1">
        <v>35</v>
      </c>
      <c r="AV493" t="s">
        <v>1130</v>
      </c>
      <c r="AW493" s="1" t="s">
        <v>489</v>
      </c>
      <c r="AX493" s="1" t="s">
        <v>1093</v>
      </c>
      <c r="AY493" s="1" t="s">
        <v>1126</v>
      </c>
      <c r="AZ493" s="1" t="s">
        <v>151</v>
      </c>
      <c r="BA493" s="11" t="s">
        <v>1128</v>
      </c>
      <c r="BB493" s="1" t="s">
        <v>478</v>
      </c>
      <c r="BC493" s="1" t="s">
        <v>487</v>
      </c>
      <c r="BD493" t="s">
        <v>1129</v>
      </c>
    </row>
    <row r="494" spans="1:56" ht="15.75" customHeight="1">
      <c r="A494" s="2">
        <v>30099</v>
      </c>
      <c r="B494" s="2">
        <v>2</v>
      </c>
      <c r="C494">
        <v>1</v>
      </c>
      <c r="D494">
        <v>3</v>
      </c>
      <c r="E494" s="1">
        <v>2</v>
      </c>
      <c r="I494" s="1">
        <v>7.4999999999999997E-2</v>
      </c>
      <c r="K494" s="1">
        <v>13</v>
      </c>
      <c r="R494">
        <v>28</v>
      </c>
      <c r="AT494">
        <v>22</v>
      </c>
      <c r="AU494" s="1">
        <v>35</v>
      </c>
      <c r="AV494" t="s">
        <v>1130</v>
      </c>
      <c r="AW494" s="1" t="s">
        <v>490</v>
      </c>
      <c r="AX494" s="1" t="s">
        <v>1095</v>
      </c>
      <c r="AY494" s="1" t="s">
        <v>1126</v>
      </c>
      <c r="AZ494" s="1" t="s">
        <v>151</v>
      </c>
      <c r="BA494" s="11" t="s">
        <v>1128</v>
      </c>
      <c r="BB494" s="1" t="s">
        <v>478</v>
      </c>
      <c r="BC494" s="1" t="s">
        <v>487</v>
      </c>
      <c r="BD494" t="s">
        <v>1129</v>
      </c>
    </row>
    <row r="495" spans="1:56" ht="15.75" customHeight="1">
      <c r="A495" s="2">
        <v>30099</v>
      </c>
      <c r="B495" s="2">
        <v>2</v>
      </c>
      <c r="C495">
        <v>1</v>
      </c>
      <c r="D495">
        <v>3</v>
      </c>
      <c r="E495" s="1">
        <v>3</v>
      </c>
      <c r="I495" s="1">
        <v>0.08</v>
      </c>
      <c r="K495" s="1">
        <v>13</v>
      </c>
      <c r="R495">
        <v>38</v>
      </c>
      <c r="AT495">
        <v>22</v>
      </c>
      <c r="AU495" s="1">
        <v>35</v>
      </c>
      <c r="AV495" t="s">
        <v>1130</v>
      </c>
      <c r="AW495" s="1" t="s">
        <v>492</v>
      </c>
      <c r="AX495" s="1" t="s">
        <v>1095</v>
      </c>
      <c r="AY495" s="1" t="s">
        <v>1127</v>
      </c>
      <c r="AZ495" s="1" t="s">
        <v>151</v>
      </c>
      <c r="BA495" s="11" t="s">
        <v>1128</v>
      </c>
      <c r="BB495" s="1" t="s">
        <v>478</v>
      </c>
      <c r="BC495" s="1" t="s">
        <v>487</v>
      </c>
      <c r="BD495" t="s">
        <v>1129</v>
      </c>
    </row>
    <row r="496" spans="1:56" ht="15.75" customHeight="1">
      <c r="A496" s="2">
        <v>30099</v>
      </c>
      <c r="B496" s="2">
        <v>2</v>
      </c>
      <c r="C496">
        <v>1</v>
      </c>
      <c r="D496">
        <v>3</v>
      </c>
      <c r="E496" s="1">
        <v>4</v>
      </c>
      <c r="I496" s="1">
        <v>8.5000000000000006E-2</v>
      </c>
      <c r="K496" s="1">
        <v>17</v>
      </c>
      <c r="R496">
        <v>38</v>
      </c>
      <c r="AT496">
        <v>22</v>
      </c>
      <c r="AU496" s="1">
        <v>40</v>
      </c>
      <c r="AV496" t="s">
        <v>1130</v>
      </c>
      <c r="AW496" s="1" t="s">
        <v>494</v>
      </c>
      <c r="AX496" s="1" t="s">
        <v>1095</v>
      </c>
      <c r="AY496" s="1" t="s">
        <v>1127</v>
      </c>
      <c r="AZ496" s="1" t="s">
        <v>493</v>
      </c>
      <c r="BA496" s="11" t="s">
        <v>1128</v>
      </c>
      <c r="BB496" s="1" t="s">
        <v>482</v>
      </c>
      <c r="BC496" s="1" t="s">
        <v>487</v>
      </c>
      <c r="BD496" t="s">
        <v>1129</v>
      </c>
    </row>
    <row r="497" spans="1:56" ht="15.75" customHeight="1">
      <c r="A497" s="2">
        <v>30100</v>
      </c>
      <c r="B497" s="2">
        <v>3</v>
      </c>
      <c r="C497">
        <v>0</v>
      </c>
      <c r="D497">
        <v>3</v>
      </c>
      <c r="E497" s="1">
        <v>0</v>
      </c>
      <c r="F497">
        <v>22.5</v>
      </c>
      <c r="P497">
        <v>28</v>
      </c>
      <c r="R497">
        <v>28</v>
      </c>
      <c r="T497">
        <v>28</v>
      </c>
      <c r="AU497">
        <v>0</v>
      </c>
      <c r="AV497" t="s">
        <v>1172</v>
      </c>
      <c r="AW497" s="1" t="s">
        <v>1131</v>
      </c>
      <c r="AX497" s="1" t="s">
        <v>1139</v>
      </c>
      <c r="AY497" s="1" t="s">
        <v>1144</v>
      </c>
      <c r="AZ497" s="1" t="s">
        <v>1124</v>
      </c>
      <c r="BA497" s="11" t="s">
        <v>1175</v>
      </c>
      <c r="BB497" t="s">
        <v>1150</v>
      </c>
      <c r="BC497" s="1" t="s">
        <v>487</v>
      </c>
      <c r="BD497" t="s">
        <v>1153</v>
      </c>
    </row>
    <row r="498" spans="1:56" ht="15.75" customHeight="1">
      <c r="A498" s="2">
        <v>30100</v>
      </c>
      <c r="B498" s="2">
        <v>3</v>
      </c>
      <c r="C498">
        <v>0</v>
      </c>
      <c r="D498">
        <v>3</v>
      </c>
      <c r="E498" s="1">
        <v>1</v>
      </c>
      <c r="F498">
        <v>24</v>
      </c>
      <c r="P498">
        <v>28</v>
      </c>
      <c r="R498">
        <v>28</v>
      </c>
      <c r="T498">
        <v>28</v>
      </c>
      <c r="AU498">
        <v>0</v>
      </c>
      <c r="AV498" t="s">
        <v>1172</v>
      </c>
      <c r="AW498" s="1" t="s">
        <v>1132</v>
      </c>
      <c r="AX498" s="1" t="s">
        <v>1139</v>
      </c>
      <c r="AY498" s="1" t="s">
        <v>1144</v>
      </c>
      <c r="AZ498" s="1" t="s">
        <v>1124</v>
      </c>
      <c r="BA498" s="11" t="s">
        <v>1175</v>
      </c>
      <c r="BB498" t="s">
        <v>1151</v>
      </c>
      <c r="BC498" s="1" t="s">
        <v>487</v>
      </c>
      <c r="BD498" t="s">
        <v>1153</v>
      </c>
    </row>
    <row r="499" spans="1:56" ht="15.75" customHeight="1">
      <c r="A499" s="2">
        <v>30100</v>
      </c>
      <c r="B499" s="2">
        <v>3</v>
      </c>
      <c r="C499">
        <v>0</v>
      </c>
      <c r="D499">
        <v>3</v>
      </c>
      <c r="E499" s="1">
        <v>2</v>
      </c>
      <c r="F499">
        <v>25</v>
      </c>
      <c r="P499">
        <v>38</v>
      </c>
      <c r="R499">
        <v>28</v>
      </c>
      <c r="T499">
        <v>28</v>
      </c>
      <c r="AU499">
        <v>0</v>
      </c>
      <c r="AV499" t="s">
        <v>1172</v>
      </c>
      <c r="AW499" s="1" t="s">
        <v>1133</v>
      </c>
      <c r="AX499" s="1" t="s">
        <v>1142</v>
      </c>
      <c r="AY499" s="1" t="s">
        <v>1144</v>
      </c>
      <c r="AZ499" s="1" t="s">
        <v>1124</v>
      </c>
      <c r="BA499" s="11" t="s">
        <v>1175</v>
      </c>
      <c r="BB499" t="s">
        <v>1151</v>
      </c>
      <c r="BC499" s="1" t="s">
        <v>487</v>
      </c>
      <c r="BD499" t="s">
        <v>1153</v>
      </c>
    </row>
    <row r="500" spans="1:56" ht="15.75" customHeight="1">
      <c r="A500" s="2">
        <v>30100</v>
      </c>
      <c r="B500" s="2">
        <v>3</v>
      </c>
      <c r="C500">
        <v>0</v>
      </c>
      <c r="D500">
        <v>3</v>
      </c>
      <c r="E500" s="1">
        <v>3</v>
      </c>
      <c r="F500">
        <v>26.5</v>
      </c>
      <c r="P500">
        <v>38</v>
      </c>
      <c r="R500">
        <v>28</v>
      </c>
      <c r="T500">
        <v>38</v>
      </c>
      <c r="AU500">
        <v>0</v>
      </c>
      <c r="AV500" t="s">
        <v>1172</v>
      </c>
      <c r="AW500" s="1" t="s">
        <v>1134</v>
      </c>
      <c r="AX500" s="1" t="s">
        <v>1142</v>
      </c>
      <c r="AY500" s="1" t="s">
        <v>1147</v>
      </c>
      <c r="AZ500" s="1" t="s">
        <v>1124</v>
      </c>
      <c r="BA500" s="11" t="s">
        <v>1175</v>
      </c>
      <c r="BB500" t="s">
        <v>1151</v>
      </c>
      <c r="BC500" s="1" t="s">
        <v>487</v>
      </c>
      <c r="BD500" t="s">
        <v>1153</v>
      </c>
    </row>
    <row r="501" spans="1:56" ht="15.75" customHeight="1">
      <c r="A501" s="2">
        <v>30100</v>
      </c>
      <c r="B501" s="2">
        <v>3</v>
      </c>
      <c r="C501">
        <v>0</v>
      </c>
      <c r="D501">
        <v>3</v>
      </c>
      <c r="E501" s="1">
        <v>4</v>
      </c>
      <c r="F501">
        <v>28</v>
      </c>
      <c r="P501">
        <v>38</v>
      </c>
      <c r="R501">
        <v>38</v>
      </c>
      <c r="T501">
        <v>38</v>
      </c>
      <c r="AU501">
        <v>0</v>
      </c>
      <c r="AV501" t="s">
        <v>1172</v>
      </c>
      <c r="AW501" s="1" t="s">
        <v>1135</v>
      </c>
      <c r="AX501" s="1" t="s">
        <v>1142</v>
      </c>
      <c r="AY501" s="1" t="s">
        <v>1147</v>
      </c>
      <c r="AZ501" s="1" t="s">
        <v>1125</v>
      </c>
      <c r="BA501" s="11" t="s">
        <v>1175</v>
      </c>
      <c r="BB501" t="s">
        <v>1152</v>
      </c>
      <c r="BC501" s="1" t="s">
        <v>487</v>
      </c>
      <c r="BD501" t="s">
        <v>1153</v>
      </c>
    </row>
    <row r="502" spans="1:56" ht="15.75" customHeight="1">
      <c r="A502" s="2">
        <v>30101</v>
      </c>
      <c r="B502" s="2">
        <v>1</v>
      </c>
      <c r="C502">
        <v>2</v>
      </c>
      <c r="D502">
        <v>3</v>
      </c>
      <c r="E502" s="1">
        <v>0</v>
      </c>
      <c r="F502" s="1">
        <v>21</v>
      </c>
      <c r="I502" s="1">
        <v>6.5000000000000002E-2</v>
      </c>
      <c r="P502">
        <v>28</v>
      </c>
      <c r="Y502">
        <v>7</v>
      </c>
      <c r="AU502" s="1">
        <v>30</v>
      </c>
      <c r="AV502" t="s">
        <v>1173</v>
      </c>
      <c r="AW502" s="1" t="s">
        <v>497</v>
      </c>
      <c r="AX502" s="1" t="s">
        <v>220</v>
      </c>
      <c r="AY502" s="1" t="s">
        <v>1138</v>
      </c>
      <c r="AZ502" s="2" t="s">
        <v>1162</v>
      </c>
      <c r="BA502" s="11" t="s">
        <v>1174</v>
      </c>
      <c r="BB502" s="1" t="s">
        <v>214</v>
      </c>
      <c r="BC502" s="1" t="s">
        <v>487</v>
      </c>
      <c r="BD502" t="s">
        <v>1167</v>
      </c>
    </row>
    <row r="503" spans="1:56" ht="15.75" customHeight="1">
      <c r="A503" s="2">
        <v>30101</v>
      </c>
      <c r="B503" s="2">
        <v>1</v>
      </c>
      <c r="C503">
        <v>2</v>
      </c>
      <c r="D503">
        <v>3</v>
      </c>
      <c r="E503" s="1">
        <v>1</v>
      </c>
      <c r="F503" s="1">
        <v>21</v>
      </c>
      <c r="I503" s="1">
        <v>7.0000000000000007E-2</v>
      </c>
      <c r="P503">
        <v>28</v>
      </c>
      <c r="Y503">
        <v>7</v>
      </c>
      <c r="AU503" s="1">
        <v>35</v>
      </c>
      <c r="AV503" t="s">
        <v>1173</v>
      </c>
      <c r="AW503" s="1" t="s">
        <v>502</v>
      </c>
      <c r="AX503" s="1" t="s">
        <v>220</v>
      </c>
      <c r="AY503" s="1" t="s">
        <v>1138</v>
      </c>
      <c r="AZ503" s="2" t="s">
        <v>1162</v>
      </c>
      <c r="BA503" s="11" t="s">
        <v>1174</v>
      </c>
      <c r="BB503" s="1" t="s">
        <v>503</v>
      </c>
      <c r="BC503" s="1" t="s">
        <v>487</v>
      </c>
      <c r="BD503" t="s">
        <v>1167</v>
      </c>
    </row>
    <row r="504" spans="1:56" ht="15.75" customHeight="1">
      <c r="A504" s="2">
        <v>30101</v>
      </c>
      <c r="B504" s="2">
        <v>1</v>
      </c>
      <c r="C504">
        <v>2</v>
      </c>
      <c r="D504">
        <v>3</v>
      </c>
      <c r="E504" s="1">
        <v>2</v>
      </c>
      <c r="F504" s="1">
        <v>28</v>
      </c>
      <c r="I504" s="1">
        <v>7.4999999999999997E-2</v>
      </c>
      <c r="P504">
        <v>28</v>
      </c>
      <c r="Y504">
        <v>7</v>
      </c>
      <c r="AU504" s="1">
        <v>35</v>
      </c>
      <c r="AV504" t="s">
        <v>1173</v>
      </c>
      <c r="AW504" s="1" t="s">
        <v>504</v>
      </c>
      <c r="AX504" s="1" t="s">
        <v>537</v>
      </c>
      <c r="AY504" s="1" t="s">
        <v>1138</v>
      </c>
      <c r="AZ504" s="2" t="s">
        <v>1162</v>
      </c>
      <c r="BA504" s="11" t="s">
        <v>1174</v>
      </c>
      <c r="BB504" s="1" t="s">
        <v>503</v>
      </c>
      <c r="BC504" s="1" t="s">
        <v>487</v>
      </c>
      <c r="BD504" t="s">
        <v>1167</v>
      </c>
    </row>
    <row r="505" spans="1:56" ht="15.75" customHeight="1">
      <c r="A505" s="2">
        <v>30101</v>
      </c>
      <c r="B505" s="2">
        <v>1</v>
      </c>
      <c r="C505">
        <v>2</v>
      </c>
      <c r="D505">
        <v>3</v>
      </c>
      <c r="E505" s="1">
        <v>3</v>
      </c>
      <c r="F505" s="1">
        <v>28</v>
      </c>
      <c r="I505" s="1">
        <v>0.08</v>
      </c>
      <c r="P505">
        <v>38</v>
      </c>
      <c r="Y505">
        <v>7</v>
      </c>
      <c r="AU505" s="1">
        <v>35</v>
      </c>
      <c r="AV505" t="s">
        <v>1173</v>
      </c>
      <c r="AW505" s="1" t="s">
        <v>506</v>
      </c>
      <c r="AX505" s="1" t="s">
        <v>537</v>
      </c>
      <c r="AY505" s="1" t="s">
        <v>1141</v>
      </c>
      <c r="AZ505" s="2" t="s">
        <v>1162</v>
      </c>
      <c r="BA505" s="11" t="s">
        <v>1174</v>
      </c>
      <c r="BB505" s="1" t="s">
        <v>503</v>
      </c>
      <c r="BC505" s="1" t="s">
        <v>487</v>
      </c>
      <c r="BD505" t="s">
        <v>1167</v>
      </c>
    </row>
    <row r="506" spans="1:56" ht="15.75" customHeight="1">
      <c r="A506" s="2">
        <v>30101</v>
      </c>
      <c r="B506" s="2">
        <v>1</v>
      </c>
      <c r="C506">
        <v>2</v>
      </c>
      <c r="D506">
        <v>3</v>
      </c>
      <c r="E506" s="1">
        <v>4</v>
      </c>
      <c r="F506" s="1">
        <v>28</v>
      </c>
      <c r="I506" s="1">
        <v>8.5000000000000006E-2</v>
      </c>
      <c r="P506">
        <v>38</v>
      </c>
      <c r="Y506">
        <v>9</v>
      </c>
      <c r="AU506" s="1">
        <v>40</v>
      </c>
      <c r="AV506" t="s">
        <v>1173</v>
      </c>
      <c r="AW506" s="1" t="s">
        <v>508</v>
      </c>
      <c r="AX506" s="1" t="s">
        <v>537</v>
      </c>
      <c r="AY506" s="1" t="s">
        <v>1141</v>
      </c>
      <c r="AZ506" s="2" t="s">
        <v>1165</v>
      </c>
      <c r="BA506" s="11" t="s">
        <v>1174</v>
      </c>
      <c r="BB506" s="1" t="s">
        <v>510</v>
      </c>
      <c r="BC506" s="1" t="s">
        <v>487</v>
      </c>
      <c r="BD506" t="s">
        <v>1167</v>
      </c>
    </row>
    <row r="507" spans="1:56" ht="15.75" customHeight="1">
      <c r="A507" s="2">
        <v>30102</v>
      </c>
      <c r="B507" s="2">
        <v>2</v>
      </c>
      <c r="C507">
        <v>3</v>
      </c>
      <c r="D507">
        <v>3</v>
      </c>
      <c r="E507" s="1">
        <v>0</v>
      </c>
      <c r="I507" s="1">
        <v>6.5000000000000002E-2</v>
      </c>
      <c r="K507" s="1">
        <v>13</v>
      </c>
      <c r="P507">
        <v>28</v>
      </c>
      <c r="V507">
        <v>18</v>
      </c>
      <c r="AU507" s="1">
        <v>30</v>
      </c>
      <c r="AV507" t="s">
        <v>1171</v>
      </c>
      <c r="AW507" s="1" t="s">
        <v>484</v>
      </c>
      <c r="AX507" s="2" t="s">
        <v>988</v>
      </c>
      <c r="AY507" s="1" t="s">
        <v>151</v>
      </c>
      <c r="AZ507" s="1" t="s">
        <v>1139</v>
      </c>
      <c r="BA507" s="11" t="s">
        <v>1176</v>
      </c>
      <c r="BB507" s="1" t="s">
        <v>152</v>
      </c>
      <c r="BC507" s="1" t="s">
        <v>487</v>
      </c>
      <c r="BD507" s="12" t="s">
        <v>1177</v>
      </c>
    </row>
    <row r="508" spans="1:56" ht="15.75" customHeight="1">
      <c r="A508" s="2">
        <v>30102</v>
      </c>
      <c r="B508" s="2">
        <v>2</v>
      </c>
      <c r="C508">
        <v>3</v>
      </c>
      <c r="D508">
        <v>3</v>
      </c>
      <c r="E508" s="1">
        <v>1</v>
      </c>
      <c r="I508" s="1">
        <v>7.0000000000000007E-2</v>
      </c>
      <c r="K508" s="1">
        <v>13</v>
      </c>
      <c r="P508">
        <v>28</v>
      </c>
      <c r="V508">
        <v>18</v>
      </c>
      <c r="AU508" s="1">
        <v>35</v>
      </c>
      <c r="AV508" t="s">
        <v>1171</v>
      </c>
      <c r="AW508" s="1" t="s">
        <v>489</v>
      </c>
      <c r="AX508" s="2" t="s">
        <v>988</v>
      </c>
      <c r="AY508" s="1" t="s">
        <v>151</v>
      </c>
      <c r="AZ508" s="1" t="s">
        <v>1139</v>
      </c>
      <c r="BA508" s="11" t="s">
        <v>1176</v>
      </c>
      <c r="BB508" s="1" t="s">
        <v>478</v>
      </c>
      <c r="BC508" s="1" t="s">
        <v>487</v>
      </c>
      <c r="BD508" s="12" t="s">
        <v>1177</v>
      </c>
    </row>
    <row r="509" spans="1:56" ht="15.75" customHeight="1">
      <c r="A509" s="2">
        <v>30102</v>
      </c>
      <c r="B509" s="2">
        <v>2</v>
      </c>
      <c r="C509">
        <v>3</v>
      </c>
      <c r="D509">
        <v>3</v>
      </c>
      <c r="E509" s="1">
        <v>2</v>
      </c>
      <c r="I509" s="1">
        <v>7.4999999999999997E-2</v>
      </c>
      <c r="K509" s="1">
        <v>13</v>
      </c>
      <c r="P509">
        <v>28</v>
      </c>
      <c r="V509">
        <v>25</v>
      </c>
      <c r="AU509" s="1">
        <v>35</v>
      </c>
      <c r="AV509" t="s">
        <v>1171</v>
      </c>
      <c r="AW509" s="1" t="s">
        <v>490</v>
      </c>
      <c r="AX509" s="2" t="s">
        <v>1170</v>
      </c>
      <c r="AY509" s="1" t="s">
        <v>151</v>
      </c>
      <c r="AZ509" s="1" t="s">
        <v>1139</v>
      </c>
      <c r="BA509" s="11" t="s">
        <v>1176</v>
      </c>
      <c r="BB509" s="1" t="s">
        <v>478</v>
      </c>
      <c r="BC509" s="1" t="s">
        <v>487</v>
      </c>
      <c r="BD509" s="12" t="s">
        <v>1177</v>
      </c>
    </row>
    <row r="510" spans="1:56" ht="15.75" customHeight="1">
      <c r="A510" s="2">
        <v>30102</v>
      </c>
      <c r="B510" s="2">
        <v>2</v>
      </c>
      <c r="C510">
        <v>3</v>
      </c>
      <c r="D510">
        <v>3</v>
      </c>
      <c r="E510" s="1">
        <v>3</v>
      </c>
      <c r="I510" s="1">
        <v>0.08</v>
      </c>
      <c r="K510" s="1">
        <v>17</v>
      </c>
      <c r="P510">
        <v>28</v>
      </c>
      <c r="V510">
        <v>25</v>
      </c>
      <c r="AU510" s="1">
        <v>35</v>
      </c>
      <c r="AV510" t="s">
        <v>1171</v>
      </c>
      <c r="AW510" s="1" t="s">
        <v>492</v>
      </c>
      <c r="AX510" s="2" t="s">
        <v>1170</v>
      </c>
      <c r="AY510" s="1" t="s">
        <v>493</v>
      </c>
      <c r="AZ510" s="1" t="s">
        <v>1139</v>
      </c>
      <c r="BA510" s="11" t="s">
        <v>1176</v>
      </c>
      <c r="BB510" s="1" t="s">
        <v>478</v>
      </c>
      <c r="BC510" s="1" t="s">
        <v>487</v>
      </c>
      <c r="BD510" s="12" t="s">
        <v>1177</v>
      </c>
    </row>
    <row r="511" spans="1:56" ht="15.75" customHeight="1">
      <c r="A511" s="2">
        <v>30102</v>
      </c>
      <c r="B511" s="2">
        <v>2</v>
      </c>
      <c r="C511">
        <v>3</v>
      </c>
      <c r="D511">
        <v>3</v>
      </c>
      <c r="E511" s="1">
        <v>4</v>
      </c>
      <c r="I511" s="1">
        <v>8.5000000000000006E-2</v>
      </c>
      <c r="K511" s="1">
        <v>17</v>
      </c>
      <c r="P511">
        <v>38</v>
      </c>
      <c r="V511">
        <v>25</v>
      </c>
      <c r="AU511" s="1">
        <v>40</v>
      </c>
      <c r="AV511" t="s">
        <v>1171</v>
      </c>
      <c r="AW511" s="1" t="s">
        <v>494</v>
      </c>
      <c r="AX511" s="2" t="s">
        <v>1170</v>
      </c>
      <c r="AY511" s="1" t="s">
        <v>493</v>
      </c>
      <c r="AZ511" s="1" t="s">
        <v>1142</v>
      </c>
      <c r="BA511" s="11" t="s">
        <v>1176</v>
      </c>
      <c r="BB511" s="1" t="s">
        <v>482</v>
      </c>
      <c r="BC511" s="1" t="s">
        <v>487</v>
      </c>
      <c r="BD511" s="12" t="s">
        <v>1177</v>
      </c>
    </row>
    <row r="512" spans="1:56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CE94-C405-40F3-9626-45FA72518672}">
  <dimension ref="A1:AQ138"/>
  <sheetViews>
    <sheetView topLeftCell="A7" workbookViewId="0">
      <selection activeCell="B40" sqref="B40:B41"/>
    </sheetView>
  </sheetViews>
  <sheetFormatPr defaultRowHeight="14.25"/>
  <cols>
    <col min="2" max="2" width="47.75" customWidth="1"/>
    <col min="3" max="3" width="43.375" customWidth="1"/>
    <col min="4" max="4" width="38.5" customWidth="1"/>
    <col min="5" max="5" width="25.125" bestFit="1" customWidth="1"/>
    <col min="6" max="6" width="26.125" bestFit="1" customWidth="1"/>
    <col min="7" max="7" width="25.625" bestFit="1" customWidth="1"/>
  </cols>
  <sheetData>
    <row r="1" spans="1:43">
      <c r="A1" s="1" t="s">
        <v>0</v>
      </c>
      <c r="I1" s="1"/>
      <c r="J1" s="1"/>
      <c r="K1" s="1"/>
      <c r="L1" s="2"/>
      <c r="M1" s="1"/>
      <c r="N1" s="1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  <c r="AP1" s="1"/>
      <c r="AQ1" s="1"/>
    </row>
    <row r="2" spans="1:43">
      <c r="A2" s="1" t="s">
        <v>1</v>
      </c>
    </row>
    <row r="3" spans="1:43">
      <c r="A3" s="1" t="s">
        <v>2</v>
      </c>
    </row>
    <row r="4" spans="1:43">
      <c r="A4" s="1" t="s">
        <v>3</v>
      </c>
    </row>
    <row r="5" spans="1:43">
      <c r="A5" s="1" t="s">
        <v>4</v>
      </c>
    </row>
    <row r="6" spans="1:43">
      <c r="A6" s="1" t="s">
        <v>5</v>
      </c>
      <c r="B6" s="1" t="s">
        <v>155</v>
      </c>
      <c r="C6" s="1" t="s">
        <v>216</v>
      </c>
      <c r="D6" s="1" t="s">
        <v>140</v>
      </c>
      <c r="E6" s="1" t="s">
        <v>161</v>
      </c>
      <c r="F6" s="1" t="s">
        <v>220</v>
      </c>
      <c r="G6" s="1" t="s">
        <v>146</v>
      </c>
    </row>
    <row r="7" spans="1:43">
      <c r="A7" s="1"/>
      <c r="B7" s="1" t="s">
        <v>161</v>
      </c>
      <c r="C7" s="1" t="s">
        <v>220</v>
      </c>
      <c r="D7" s="1" t="s">
        <v>146</v>
      </c>
      <c r="E7" s="1" t="s">
        <v>161</v>
      </c>
      <c r="F7" s="1" t="s">
        <v>220</v>
      </c>
      <c r="G7" s="1" t="s">
        <v>146</v>
      </c>
    </row>
    <row r="8" spans="1:43">
      <c r="A8" s="1"/>
      <c r="B8" s="1" t="s">
        <v>161</v>
      </c>
      <c r="C8" s="1" t="s">
        <v>220</v>
      </c>
      <c r="D8" s="1" t="s">
        <v>146</v>
      </c>
      <c r="E8" s="1" t="s">
        <v>544</v>
      </c>
      <c r="F8" s="1" t="s">
        <v>537</v>
      </c>
      <c r="G8" s="1" t="s">
        <v>532</v>
      </c>
    </row>
    <row r="9" spans="1:43">
      <c r="A9" s="1"/>
      <c r="B9" s="1" t="s">
        <v>161</v>
      </c>
      <c r="C9" s="1" t="s">
        <v>220</v>
      </c>
      <c r="D9" s="1" t="s">
        <v>146</v>
      </c>
      <c r="E9" s="1" t="s">
        <v>544</v>
      </c>
      <c r="F9" s="1" t="s">
        <v>537</v>
      </c>
      <c r="G9" s="1" t="s">
        <v>532</v>
      </c>
    </row>
    <row r="10" spans="1:43">
      <c r="A10" s="1"/>
      <c r="B10" s="1" t="s">
        <v>161</v>
      </c>
      <c r="C10" s="1" t="s">
        <v>220</v>
      </c>
      <c r="D10" s="1" t="s">
        <v>146</v>
      </c>
      <c r="E10" s="1" t="s">
        <v>544</v>
      </c>
      <c r="F10" s="1" t="s">
        <v>537</v>
      </c>
      <c r="G10" s="1" t="s">
        <v>532</v>
      </c>
    </row>
    <row r="11" spans="1:43">
      <c r="A11" s="1" t="s">
        <v>6</v>
      </c>
      <c r="B11" s="1" t="s">
        <v>927</v>
      </c>
      <c r="C11" s="1" t="s">
        <v>928</v>
      </c>
      <c r="D11" s="1" t="s">
        <v>916</v>
      </c>
      <c r="E11" s="1" t="s">
        <v>946</v>
      </c>
      <c r="F11" s="1" t="s">
        <v>945</v>
      </c>
      <c r="G11" s="1" t="s">
        <v>944</v>
      </c>
    </row>
    <row r="12" spans="1:43">
      <c r="B12" s="1" t="s">
        <v>925</v>
      </c>
      <c r="C12" s="1" t="s">
        <v>926</v>
      </c>
      <c r="D12" s="1" t="s">
        <v>917</v>
      </c>
      <c r="E12" s="1" t="s">
        <v>949</v>
      </c>
      <c r="F12" s="1" t="s">
        <v>948</v>
      </c>
      <c r="G12" s="1" t="s">
        <v>947</v>
      </c>
    </row>
    <row r="13" spans="1:43">
      <c r="B13" s="1" t="s">
        <v>929</v>
      </c>
      <c r="C13" s="1" t="s">
        <v>930</v>
      </c>
      <c r="D13" s="1" t="s">
        <v>918</v>
      </c>
      <c r="E13" s="1" t="s">
        <v>952</v>
      </c>
      <c r="F13" s="1" t="s">
        <v>951</v>
      </c>
      <c r="G13" s="1" t="s">
        <v>950</v>
      </c>
    </row>
    <row r="14" spans="1:43">
      <c r="B14" s="1" t="s">
        <v>931</v>
      </c>
      <c r="C14" s="1" t="s">
        <v>932</v>
      </c>
      <c r="D14" s="1" t="s">
        <v>919</v>
      </c>
      <c r="E14" s="1" t="s">
        <v>955</v>
      </c>
      <c r="F14" s="1" t="s">
        <v>954</v>
      </c>
      <c r="G14" s="1" t="s">
        <v>953</v>
      </c>
    </row>
    <row r="15" spans="1:43">
      <c r="B15" s="1" t="s">
        <v>933</v>
      </c>
      <c r="C15" s="1" t="s">
        <v>934</v>
      </c>
      <c r="D15" s="1" t="s">
        <v>920</v>
      </c>
      <c r="E15" s="1" t="s">
        <v>958</v>
      </c>
      <c r="F15" s="1" t="s">
        <v>957</v>
      </c>
      <c r="G15" s="1" t="s">
        <v>956</v>
      </c>
    </row>
    <row r="16" spans="1:43">
      <c r="A16" s="1" t="s">
        <v>7</v>
      </c>
      <c r="E16" s="1" t="s">
        <v>512</v>
      </c>
      <c r="F16" s="1" t="s">
        <v>497</v>
      </c>
      <c r="G16" s="1" t="s">
        <v>484</v>
      </c>
    </row>
    <row r="17" spans="1:7">
      <c r="A17" s="1"/>
      <c r="E17" s="1" t="s">
        <v>515</v>
      </c>
      <c r="F17" s="1" t="s">
        <v>502</v>
      </c>
      <c r="G17" s="1" t="s">
        <v>489</v>
      </c>
    </row>
    <row r="18" spans="1:7">
      <c r="A18" s="1"/>
      <c r="E18" s="1" t="s">
        <v>517</v>
      </c>
      <c r="F18" s="1" t="s">
        <v>504</v>
      </c>
      <c r="G18" s="1" t="s">
        <v>490</v>
      </c>
    </row>
    <row r="19" spans="1:7">
      <c r="A19" s="1"/>
      <c r="E19" s="1" t="s">
        <v>518</v>
      </c>
      <c r="F19" s="1" t="s">
        <v>506</v>
      </c>
      <c r="G19" s="1" t="s">
        <v>492</v>
      </c>
    </row>
    <row r="20" spans="1:7">
      <c r="A20" s="1"/>
      <c r="E20" s="1" t="s">
        <v>520</v>
      </c>
      <c r="F20" s="1" t="s">
        <v>508</v>
      </c>
      <c r="G20" s="1" t="s">
        <v>494</v>
      </c>
    </row>
    <row r="21" spans="1:7">
      <c r="A21" s="1" t="s">
        <v>8</v>
      </c>
    </row>
    <row r="22" spans="1:7">
      <c r="A22" s="1" t="s">
        <v>9</v>
      </c>
    </row>
    <row r="23" spans="1:7">
      <c r="A23" s="1" t="s">
        <v>10</v>
      </c>
      <c r="B23" s="1" t="s">
        <v>156</v>
      </c>
      <c r="C23" s="1" t="s">
        <v>217</v>
      </c>
      <c r="D23" s="1" t="s">
        <v>141</v>
      </c>
    </row>
    <row r="24" spans="1:7">
      <c r="A24" s="1"/>
      <c r="B24" s="1" t="s">
        <v>166</v>
      </c>
      <c r="C24" s="1" t="s">
        <v>221</v>
      </c>
      <c r="D24" s="1" t="s">
        <v>151</v>
      </c>
    </row>
    <row r="25" spans="1:7">
      <c r="A25" s="1"/>
      <c r="B25" s="1" t="s">
        <v>545</v>
      </c>
      <c r="C25" s="1" t="s">
        <v>538</v>
      </c>
      <c r="D25" s="1" t="s">
        <v>493</v>
      </c>
    </row>
    <row r="26" spans="1:7" s="9" customFormat="1">
      <c r="A26" s="8"/>
      <c r="B26" s="8"/>
      <c r="C26" s="8"/>
      <c r="D26" s="8"/>
    </row>
    <row r="27" spans="1:7">
      <c r="A27" s="2" t="s">
        <v>11</v>
      </c>
      <c r="B27" s="2" t="s">
        <v>460</v>
      </c>
      <c r="C27" s="2" t="s">
        <v>1047</v>
      </c>
      <c r="D27" s="2" t="s">
        <v>921</v>
      </c>
    </row>
    <row r="28" spans="1:7">
      <c r="A28" s="2"/>
      <c r="B28" s="2" t="s">
        <v>463</v>
      </c>
      <c r="C28" s="2" t="s">
        <v>967</v>
      </c>
      <c r="D28" s="2" t="s">
        <v>871</v>
      </c>
    </row>
    <row r="29" spans="1:7">
      <c r="A29" s="2"/>
      <c r="B29" s="2" t="s">
        <v>880</v>
      </c>
      <c r="C29" s="2" t="s">
        <v>968</v>
      </c>
      <c r="D29" s="2" t="s">
        <v>874</v>
      </c>
    </row>
    <row r="30" spans="1:7" s="9" customFormat="1">
      <c r="A30" s="10"/>
      <c r="B30" s="10"/>
      <c r="C30" s="10"/>
      <c r="D30" s="10"/>
    </row>
    <row r="31" spans="1:7">
      <c r="A31" s="1" t="s">
        <v>12</v>
      </c>
    </row>
    <row r="32" spans="1:7">
      <c r="A32" s="1" t="s">
        <v>13</v>
      </c>
    </row>
    <row r="33" spans="1:7" s="9" customFormat="1">
      <c r="A33" s="8"/>
    </row>
    <row r="34" spans="1:7">
      <c r="A34" s="1" t="s">
        <v>14</v>
      </c>
      <c r="B34" s="1" t="s">
        <v>981</v>
      </c>
      <c r="C34" s="1" t="s">
        <v>417</v>
      </c>
      <c r="D34" s="1" t="s">
        <v>1052</v>
      </c>
    </row>
    <row r="35" spans="1:7">
      <c r="A35" s="1"/>
      <c r="B35" s="1" t="s">
        <v>982</v>
      </c>
      <c r="C35" s="1" t="s">
        <v>421</v>
      </c>
      <c r="D35" s="1" t="s">
        <v>1053</v>
      </c>
    </row>
    <row r="36" spans="1:7">
      <c r="B36" s="1" t="s">
        <v>1010</v>
      </c>
      <c r="C36" s="1" t="s">
        <v>1011</v>
      </c>
      <c r="D36" s="1" t="s">
        <v>1012</v>
      </c>
    </row>
    <row r="37" spans="1:7">
      <c r="A37" s="1"/>
      <c r="B37" s="1" t="s">
        <v>636</v>
      </c>
      <c r="C37" s="1" t="s">
        <v>622</v>
      </c>
      <c r="D37" s="1" t="s">
        <v>823</v>
      </c>
    </row>
    <row r="38" spans="1:7">
      <c r="A38" s="1"/>
      <c r="B38" s="1" t="s">
        <v>639</v>
      </c>
      <c r="C38" s="1" t="s">
        <v>625</v>
      </c>
      <c r="D38" s="1" t="s">
        <v>828</v>
      </c>
      <c r="G38" s="1"/>
    </row>
    <row r="39" spans="1:7" s="9" customFormat="1">
      <c r="A39" s="8"/>
      <c r="B39" s="8"/>
      <c r="C39" s="8"/>
      <c r="D39" s="8"/>
      <c r="G39" s="8"/>
    </row>
    <row r="40" spans="1:7">
      <c r="A40" s="1" t="s">
        <v>1136</v>
      </c>
      <c r="B40" s="1" t="s">
        <v>1181</v>
      </c>
      <c r="C40" s="1" t="s">
        <v>1182</v>
      </c>
      <c r="D40" s="1" t="s">
        <v>1183</v>
      </c>
      <c r="G40" s="1"/>
    </row>
    <row r="41" spans="1:7">
      <c r="A41" s="1"/>
      <c r="B41" s="1" t="s">
        <v>1178</v>
      </c>
      <c r="C41" s="1" t="s">
        <v>1179</v>
      </c>
      <c r="D41" s="1" t="s">
        <v>1180</v>
      </c>
      <c r="G41" s="1"/>
    </row>
    <row r="42" spans="1:7">
      <c r="A42" s="1"/>
      <c r="B42" s="1" t="s">
        <v>1137</v>
      </c>
      <c r="C42" s="1" t="s">
        <v>1138</v>
      </c>
      <c r="D42" s="1" t="s">
        <v>1139</v>
      </c>
      <c r="G42" s="1"/>
    </row>
    <row r="43" spans="1:7">
      <c r="A43" s="1"/>
      <c r="B43" s="1" t="s">
        <v>1140</v>
      </c>
      <c r="C43" s="1" t="s">
        <v>1141</v>
      </c>
      <c r="D43" s="1" t="s">
        <v>1142</v>
      </c>
      <c r="G43" s="1"/>
    </row>
    <row r="44" spans="1:7" s="9" customFormat="1">
      <c r="A44" s="8"/>
      <c r="B44" s="8"/>
      <c r="C44" s="8"/>
      <c r="D44" s="8"/>
      <c r="G44" s="8"/>
    </row>
    <row r="45" spans="1:7">
      <c r="A45" s="1" t="s">
        <v>15</v>
      </c>
      <c r="B45" s="1" t="s">
        <v>994</v>
      </c>
      <c r="C45" s="1" t="s">
        <v>995</v>
      </c>
      <c r="D45" s="1" t="s">
        <v>996</v>
      </c>
    </row>
    <row r="46" spans="1:7">
      <c r="A46" s="1"/>
      <c r="B46" s="1" t="s">
        <v>553</v>
      </c>
      <c r="C46" s="1" t="s">
        <v>584</v>
      </c>
      <c r="D46" s="1" t="s">
        <v>616</v>
      </c>
    </row>
    <row r="47" spans="1:7">
      <c r="A47" s="1"/>
      <c r="B47" s="1" t="s">
        <v>558</v>
      </c>
      <c r="C47" s="1" t="s">
        <v>588</v>
      </c>
      <c r="D47" s="1" t="s">
        <v>620</v>
      </c>
    </row>
    <row r="48" spans="1:7" s="9" customFormat="1">
      <c r="A48" s="8"/>
      <c r="B48" s="8"/>
      <c r="C48" s="8"/>
      <c r="D48" s="8"/>
    </row>
    <row r="49" spans="1:4">
      <c r="A49" s="1" t="s">
        <v>1121</v>
      </c>
      <c r="B49" s="1"/>
      <c r="C49" s="1"/>
      <c r="D49" s="1"/>
    </row>
    <row r="50" spans="1:4">
      <c r="A50" s="1"/>
      <c r="B50" s="1" t="s">
        <v>1122</v>
      </c>
      <c r="C50" s="1" t="s">
        <v>1124</v>
      </c>
      <c r="D50" s="1" t="s">
        <v>1126</v>
      </c>
    </row>
    <row r="51" spans="1:4">
      <c r="A51" s="1"/>
      <c r="B51" s="1" t="s">
        <v>1123</v>
      </c>
      <c r="C51" s="1" t="s">
        <v>1125</v>
      </c>
      <c r="D51" s="1" t="s">
        <v>1127</v>
      </c>
    </row>
    <row r="52" spans="1:4" s="9" customFormat="1">
      <c r="A52" s="8"/>
      <c r="B52" s="8"/>
      <c r="C52" s="8"/>
      <c r="D52" s="8"/>
    </row>
    <row r="53" spans="1:4">
      <c r="A53" s="1" t="s">
        <v>16</v>
      </c>
      <c r="B53" s="1" t="s">
        <v>939</v>
      </c>
      <c r="C53" s="1" t="s">
        <v>938</v>
      </c>
      <c r="D53" s="1" t="s">
        <v>940</v>
      </c>
    </row>
    <row r="54" spans="1:4">
      <c r="A54" s="1"/>
      <c r="B54" s="1" t="s">
        <v>936</v>
      </c>
      <c r="C54" s="1" t="s">
        <v>935</v>
      </c>
      <c r="D54" s="1" t="s">
        <v>937</v>
      </c>
    </row>
    <row r="55" spans="1:4">
      <c r="A55" s="1"/>
      <c r="B55" s="1"/>
      <c r="C55" s="1"/>
      <c r="D55" s="1"/>
    </row>
    <row r="56" spans="1:4" s="9" customFormat="1">
      <c r="A56" s="8"/>
      <c r="B56" s="8"/>
      <c r="C56" s="8"/>
      <c r="D56" s="8"/>
    </row>
    <row r="57" spans="1:4">
      <c r="A57" s="1" t="s">
        <v>1143</v>
      </c>
      <c r="B57" s="1"/>
      <c r="C57" s="1"/>
      <c r="D57" s="1"/>
    </row>
    <row r="58" spans="1:4">
      <c r="A58" s="1"/>
      <c r="B58" s="1" t="s">
        <v>1144</v>
      </c>
      <c r="C58" s="1" t="s">
        <v>1145</v>
      </c>
      <c r="D58" s="1" t="s">
        <v>1146</v>
      </c>
    </row>
    <row r="59" spans="1:4">
      <c r="A59" s="1"/>
      <c r="B59" s="1" t="s">
        <v>1147</v>
      </c>
      <c r="C59" s="1" t="s">
        <v>1148</v>
      </c>
      <c r="D59" s="1" t="s">
        <v>1149</v>
      </c>
    </row>
    <row r="60" spans="1:4" s="9" customFormat="1"/>
    <row r="61" spans="1:4">
      <c r="A61" s="1" t="s">
        <v>17</v>
      </c>
    </row>
    <row r="62" spans="1:4">
      <c r="A62" s="1"/>
    </row>
    <row r="63" spans="1:4">
      <c r="A63" s="2" t="s">
        <v>18</v>
      </c>
      <c r="B63" s="2" t="s">
        <v>436</v>
      </c>
      <c r="C63" s="2" t="s">
        <v>985</v>
      </c>
      <c r="D63" s="2" t="s">
        <v>987</v>
      </c>
    </row>
    <row r="64" spans="1:4">
      <c r="A64" s="2"/>
      <c r="B64" s="2" t="s">
        <v>440</v>
      </c>
      <c r="C64" s="2" t="s">
        <v>986</v>
      </c>
      <c r="D64" s="2" t="s">
        <v>988</v>
      </c>
    </row>
    <row r="65" spans="1:4">
      <c r="A65" s="2"/>
      <c r="B65" s="2" t="s">
        <v>1168</v>
      </c>
      <c r="C65" s="2" t="s">
        <v>1169</v>
      </c>
      <c r="D65" s="2" t="s">
        <v>1170</v>
      </c>
    </row>
    <row r="66" spans="1:4" s="9" customFormat="1">
      <c r="A66" s="10"/>
      <c r="B66" s="10"/>
      <c r="C66" s="10"/>
      <c r="D66" s="10"/>
    </row>
    <row r="67" spans="1:4">
      <c r="A67" s="1" t="s">
        <v>19</v>
      </c>
      <c r="B67" s="1" t="s">
        <v>1035</v>
      </c>
      <c r="C67" s="1" t="s">
        <v>1036</v>
      </c>
      <c r="D67" s="1" t="s">
        <v>1037</v>
      </c>
    </row>
    <row r="68" spans="1:4">
      <c r="B68" s="1" t="s">
        <v>241</v>
      </c>
      <c r="C68" s="1" t="s">
        <v>293</v>
      </c>
      <c r="D68" s="1" t="s">
        <v>249</v>
      </c>
    </row>
    <row r="69" spans="1:4">
      <c r="A69" s="1"/>
      <c r="B69" s="1" t="s">
        <v>247</v>
      </c>
      <c r="C69" s="1" t="s">
        <v>296</v>
      </c>
      <c r="D69" s="1" t="s">
        <v>254</v>
      </c>
    </row>
    <row r="70" spans="1:4" s="9" customFormat="1">
      <c r="A70" s="8"/>
      <c r="C70" s="8"/>
    </row>
    <row r="71" spans="1:4">
      <c r="A71" s="1" t="s">
        <v>20</v>
      </c>
      <c r="C71" s="1"/>
    </row>
    <row r="72" spans="1:4">
      <c r="A72" s="1"/>
      <c r="B72" s="11" t="s">
        <v>807</v>
      </c>
      <c r="C72" s="11" t="s">
        <v>1099</v>
      </c>
      <c r="D72" s="11" t="s">
        <v>1102</v>
      </c>
    </row>
    <row r="73" spans="1:4">
      <c r="A73" s="1"/>
      <c r="B73" s="2" t="s">
        <v>810</v>
      </c>
      <c r="C73" s="2" t="s">
        <v>1100</v>
      </c>
      <c r="D73" s="2" t="s">
        <v>744</v>
      </c>
    </row>
    <row r="74" spans="1:4">
      <c r="A74" s="1"/>
      <c r="B74" s="2" t="s">
        <v>899</v>
      </c>
      <c r="C74" s="2" t="s">
        <v>1101</v>
      </c>
      <c r="D74" s="2" t="s">
        <v>748</v>
      </c>
    </row>
    <row r="75" spans="1:4" s="9" customFormat="1">
      <c r="B75" s="10"/>
    </row>
    <row r="76" spans="1:4">
      <c r="A76" s="1" t="s">
        <v>21</v>
      </c>
      <c r="B76" s="2"/>
    </row>
    <row r="77" spans="1:4">
      <c r="A77" s="1"/>
      <c r="B77" s="11" t="s">
        <v>1158</v>
      </c>
      <c r="C77" s="11" t="s">
        <v>1159</v>
      </c>
      <c r="D77" s="11" t="s">
        <v>1160</v>
      </c>
    </row>
    <row r="78" spans="1:4">
      <c r="A78" s="1"/>
      <c r="B78" s="2" t="s">
        <v>1161</v>
      </c>
      <c r="C78" s="2" t="s">
        <v>1162</v>
      </c>
      <c r="D78" s="2" t="s">
        <v>1163</v>
      </c>
    </row>
    <row r="79" spans="1:4">
      <c r="A79" s="1"/>
      <c r="B79" s="2" t="s">
        <v>1164</v>
      </c>
      <c r="C79" s="2" t="s">
        <v>1165</v>
      </c>
      <c r="D79" s="2" t="s">
        <v>1166</v>
      </c>
    </row>
    <row r="80" spans="1:4" s="9" customFormat="1">
      <c r="A80" s="8"/>
      <c r="B80" s="10"/>
    </row>
    <row r="81" spans="1:4">
      <c r="A81" s="1" t="s">
        <v>22</v>
      </c>
      <c r="B81" s="1" t="s">
        <v>358</v>
      </c>
      <c r="C81" s="1" t="s">
        <v>1045</v>
      </c>
      <c r="D81" s="1" t="s">
        <v>423</v>
      </c>
    </row>
    <row r="82" spans="1:4">
      <c r="A82" s="1"/>
      <c r="B82" s="1" t="s">
        <v>361</v>
      </c>
      <c r="C82" s="1" t="s">
        <v>1046</v>
      </c>
      <c r="D82" s="1" t="s">
        <v>426</v>
      </c>
    </row>
    <row r="83" spans="1:4">
      <c r="A83" s="1"/>
      <c r="B83" s="2"/>
    </row>
    <row r="84" spans="1:4" s="9" customFormat="1"/>
    <row r="85" spans="1:4">
      <c r="A85" s="1" t="s">
        <v>23</v>
      </c>
      <c r="B85" s="2" t="s">
        <v>435</v>
      </c>
      <c r="C85" s="2" t="s">
        <v>1002</v>
      </c>
      <c r="D85" s="2" t="s">
        <v>1001</v>
      </c>
    </row>
    <row r="86" spans="1:4">
      <c r="A86" s="1"/>
      <c r="B86" s="2" t="s">
        <v>439</v>
      </c>
      <c r="C86" s="2" t="s">
        <v>852</v>
      </c>
      <c r="D86" s="2" t="s">
        <v>889</v>
      </c>
    </row>
    <row r="87" spans="1:4">
      <c r="A87" s="1"/>
      <c r="B87" s="2" t="s">
        <v>1000</v>
      </c>
      <c r="C87" s="2" t="s">
        <v>855</v>
      </c>
      <c r="D87" s="2" t="s">
        <v>893</v>
      </c>
    </row>
    <row r="88" spans="1:4" s="9" customFormat="1">
      <c r="A88" s="8"/>
      <c r="B88" s="10"/>
      <c r="C88" s="10"/>
      <c r="D88" s="10"/>
    </row>
    <row r="89" spans="1:4">
      <c r="A89" s="1" t="s">
        <v>24</v>
      </c>
      <c r="B89" s="1" t="s">
        <v>773</v>
      </c>
      <c r="C89" s="1" t="s">
        <v>1006</v>
      </c>
      <c r="D89" s="1" t="s">
        <v>813</v>
      </c>
    </row>
    <row r="90" spans="1:4">
      <c r="A90" s="1"/>
      <c r="B90" s="1" t="s">
        <v>554</v>
      </c>
      <c r="C90" s="1" t="s">
        <v>499</v>
      </c>
      <c r="D90" s="1" t="s">
        <v>529</v>
      </c>
    </row>
    <row r="91" spans="1:4">
      <c r="A91" s="1"/>
      <c r="B91" s="1" t="s">
        <v>559</v>
      </c>
      <c r="C91" s="1" t="s">
        <v>509</v>
      </c>
      <c r="D91" s="1" t="s">
        <v>533</v>
      </c>
    </row>
    <row r="92" spans="1:4">
      <c r="A92" s="1" t="s">
        <v>25</v>
      </c>
    </row>
    <row r="93" spans="1:4" s="9" customFormat="1">
      <c r="A93" s="8"/>
    </row>
    <row r="94" spans="1:4">
      <c r="A94" s="1" t="s">
        <v>26</v>
      </c>
      <c r="B94" s="1" t="s">
        <v>1106</v>
      </c>
      <c r="C94" s="1" t="s">
        <v>1107</v>
      </c>
      <c r="D94" s="1" t="s">
        <v>1108</v>
      </c>
    </row>
    <row r="95" spans="1:4">
      <c r="A95" s="1"/>
      <c r="B95" s="1" t="s">
        <v>661</v>
      </c>
      <c r="C95" s="1" t="s">
        <v>1109</v>
      </c>
      <c r="D95" s="1" t="s">
        <v>1110</v>
      </c>
    </row>
    <row r="96" spans="1:4">
      <c r="A96" s="1"/>
      <c r="B96" s="1" t="s">
        <v>664</v>
      </c>
      <c r="C96" s="1" t="s">
        <v>1111</v>
      </c>
      <c r="D96" s="1" t="s">
        <v>1112</v>
      </c>
    </row>
    <row r="97" spans="1:4" s="9" customFormat="1">
      <c r="A97" s="8"/>
    </row>
    <row r="98" spans="1:4">
      <c r="A98" s="1" t="s">
        <v>27</v>
      </c>
      <c r="B98" s="1" t="s">
        <v>1067</v>
      </c>
      <c r="C98" s="1" t="s">
        <v>406</v>
      </c>
      <c r="D98" s="1" t="s">
        <v>1070</v>
      </c>
    </row>
    <row r="99" spans="1:4">
      <c r="A99" s="1"/>
      <c r="B99" s="1" t="s">
        <v>1068</v>
      </c>
      <c r="C99" s="1" t="s">
        <v>409</v>
      </c>
      <c r="D99" s="1" t="s">
        <v>1071</v>
      </c>
    </row>
    <row r="100" spans="1:4">
      <c r="A100" s="1"/>
      <c r="B100" s="1" t="s">
        <v>1069</v>
      </c>
      <c r="C100" s="1" t="s">
        <v>1066</v>
      </c>
      <c r="D100" s="1" t="s">
        <v>1072</v>
      </c>
    </row>
    <row r="101" spans="1:4" s="9" customFormat="1">
      <c r="A101" s="8"/>
      <c r="C101" s="8"/>
    </row>
    <row r="102" spans="1:4">
      <c r="A102" s="1" t="s">
        <v>28</v>
      </c>
    </row>
    <row r="103" spans="1:4">
      <c r="A103" s="1"/>
      <c r="D103" s="1" t="s">
        <v>822</v>
      </c>
    </row>
    <row r="104" spans="1:4">
      <c r="A104" s="1"/>
      <c r="D104" s="1" t="s">
        <v>826</v>
      </c>
    </row>
    <row r="105" spans="1:4">
      <c r="A105" s="1" t="s">
        <v>29</v>
      </c>
    </row>
    <row r="106" spans="1:4" s="9" customFormat="1">
      <c r="A106" s="8"/>
      <c r="D106" s="10"/>
    </row>
    <row r="107" spans="1:4">
      <c r="A107" s="1" t="s">
        <v>30</v>
      </c>
      <c r="B107" t="s">
        <v>411</v>
      </c>
      <c r="C107" t="s">
        <v>470</v>
      </c>
      <c r="D107" t="s">
        <v>922</v>
      </c>
    </row>
    <row r="108" spans="1:4">
      <c r="A108" s="1"/>
      <c r="B108" s="2" t="s">
        <v>414</v>
      </c>
      <c r="C108" s="2" t="s">
        <v>473</v>
      </c>
      <c r="D108" s="2" t="s">
        <v>756</v>
      </c>
    </row>
    <row r="109" spans="1:4">
      <c r="A109" s="1"/>
      <c r="B109" s="2" t="s">
        <v>1054</v>
      </c>
      <c r="C109" s="2" t="s">
        <v>1055</v>
      </c>
      <c r="D109" s="2" t="s">
        <v>759</v>
      </c>
    </row>
    <row r="110" spans="1:4" s="9" customFormat="1"/>
    <row r="111" spans="1:4">
      <c r="A111" s="1" t="s">
        <v>31</v>
      </c>
    </row>
    <row r="112" spans="1:4">
      <c r="A112" s="1" t="s">
        <v>32</v>
      </c>
    </row>
    <row r="113" spans="1:4">
      <c r="A113" s="1" t="s">
        <v>33</v>
      </c>
      <c r="B113" s="1" t="s">
        <v>1013</v>
      </c>
      <c r="C113" s="1" t="s">
        <v>1023</v>
      </c>
      <c r="D113" s="1" t="s">
        <v>1026</v>
      </c>
    </row>
    <row r="114" spans="1:4">
      <c r="A114" s="1"/>
      <c r="B114" s="1" t="s">
        <v>835</v>
      </c>
      <c r="C114" s="1" t="s">
        <v>1024</v>
      </c>
      <c r="D114" s="1" t="s">
        <v>1027</v>
      </c>
    </row>
    <row r="115" spans="1:4">
      <c r="A115" s="1"/>
      <c r="B115" s="1" t="s">
        <v>838</v>
      </c>
      <c r="C115" s="1" t="s">
        <v>1025</v>
      </c>
      <c r="D115" s="1" t="s">
        <v>1028</v>
      </c>
    </row>
    <row r="116" spans="1:4">
      <c r="A116" s="1" t="s">
        <v>34</v>
      </c>
    </row>
    <row r="117" spans="1:4">
      <c r="A117" s="1" t="s">
        <v>35</v>
      </c>
    </row>
    <row r="118" spans="1:4">
      <c r="A118" s="1" t="s">
        <v>36</v>
      </c>
    </row>
    <row r="119" spans="1:4">
      <c r="A119" s="1"/>
    </row>
    <row r="120" spans="1:4">
      <c r="A120" s="1" t="s">
        <v>37</v>
      </c>
      <c r="B120" t="s">
        <v>1018</v>
      </c>
      <c r="C120" t="s">
        <v>980</v>
      </c>
      <c r="D120" t="s">
        <v>1038</v>
      </c>
    </row>
    <row r="121" spans="1:4">
      <c r="A121" s="1"/>
      <c r="B121" t="s">
        <v>1019</v>
      </c>
      <c r="C121" t="s">
        <v>782</v>
      </c>
      <c r="D121" t="s">
        <v>794</v>
      </c>
    </row>
    <row r="122" spans="1:4">
      <c r="A122" s="1"/>
    </row>
    <row r="124" spans="1:4">
      <c r="A124" s="1" t="s">
        <v>38</v>
      </c>
    </row>
    <row r="125" spans="1:4">
      <c r="A125" s="1" t="s">
        <v>39</v>
      </c>
    </row>
    <row r="126" spans="1:4" s="9" customFormat="1">
      <c r="A126" s="8"/>
    </row>
    <row r="127" spans="1:4">
      <c r="A127" s="2" t="s">
        <v>40</v>
      </c>
      <c r="B127" s="2" t="s">
        <v>465</v>
      </c>
      <c r="C127" s="2" t="s">
        <v>989</v>
      </c>
      <c r="D127" s="2" t="s">
        <v>443</v>
      </c>
    </row>
    <row r="128" spans="1:4">
      <c r="B128" s="2" t="s">
        <v>468</v>
      </c>
      <c r="C128" s="2" t="s">
        <v>990</v>
      </c>
      <c r="D128" s="2" t="s">
        <v>447</v>
      </c>
    </row>
    <row r="129" spans="1:4">
      <c r="B129" s="2" t="s">
        <v>898</v>
      </c>
      <c r="C129" s="2" t="s">
        <v>1080</v>
      </c>
      <c r="D129" s="2" t="s">
        <v>1081</v>
      </c>
    </row>
    <row r="130" spans="1:4" s="9" customFormat="1"/>
    <row r="132" spans="1:4">
      <c r="A132" s="1" t="s">
        <v>41</v>
      </c>
    </row>
    <row r="133" spans="1:4">
      <c r="A133" s="1" t="s">
        <v>42</v>
      </c>
      <c r="B133" s="1" t="s">
        <v>1096</v>
      </c>
      <c r="C133" s="1" t="s">
        <v>1097</v>
      </c>
      <c r="D133" s="1" t="s">
        <v>1092</v>
      </c>
    </row>
    <row r="134" spans="1:4">
      <c r="A134" s="1"/>
      <c r="B134" s="1" t="s">
        <v>1088</v>
      </c>
      <c r="C134" s="1" t="s">
        <v>1085</v>
      </c>
      <c r="D134" s="1" t="s">
        <v>1098</v>
      </c>
    </row>
    <row r="135" spans="1:4">
      <c r="B135" s="1" t="s">
        <v>1089</v>
      </c>
      <c r="C135" s="1" t="s">
        <v>1086</v>
      </c>
      <c r="D135" s="1" t="s">
        <v>1093</v>
      </c>
    </row>
    <row r="136" spans="1:4">
      <c r="B136" s="1" t="s">
        <v>1094</v>
      </c>
      <c r="C136" s="1" t="s">
        <v>1087</v>
      </c>
      <c r="D136" s="1" t="s">
        <v>1095</v>
      </c>
    </row>
    <row r="137" spans="1:4">
      <c r="B137" s="1" t="s">
        <v>680</v>
      </c>
      <c r="C137" s="1" t="s">
        <v>840</v>
      </c>
      <c r="D137" s="1" t="s">
        <v>789</v>
      </c>
    </row>
    <row r="138" spans="1:4">
      <c r="B138" s="1" t="s">
        <v>174</v>
      </c>
      <c r="C138" s="1" t="s">
        <v>232</v>
      </c>
      <c r="D138" s="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</vt:lpstr>
      <vt:lpstr>SR</vt:lpstr>
      <vt:lpstr>SSR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Chun H</dc:creator>
  <cp:lastModifiedBy>Chun Hay Tang</cp:lastModifiedBy>
  <dcterms:created xsi:type="dcterms:W3CDTF">2024-12-17T13:23:24Z</dcterms:created>
  <dcterms:modified xsi:type="dcterms:W3CDTF">2026-06-15T15:41:23Z</dcterms:modified>
</cp:coreProperties>
</file>